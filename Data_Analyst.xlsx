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3.xml" ContentType="application/vnd.openxmlformats-officedocument.spreadsheetml.table+xml"/>
  <Override PartName="/xl/slicers/slicer1.xml" ContentType="application/vnd.ms-excel.slicer+xml"/>
  <Override PartName="/xl/tables/table4.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RD\Desktop\"/>
    </mc:Choice>
  </mc:AlternateContent>
  <bookViews>
    <workbookView xWindow="0" yWindow="0" windowWidth="19200" windowHeight="6930" activeTab="3"/>
  </bookViews>
  <sheets>
    <sheet name="Sheet1" sheetId="1" r:id="rId1"/>
    <sheet name="Sheet2" sheetId="2" r:id="rId2"/>
    <sheet name="Names" sheetId="3" r:id="rId3"/>
    <sheet name="Sheet5" sheetId="5" r:id="rId4"/>
    <sheet name="Sheet4" sheetId="4" r:id="rId5"/>
  </sheets>
  <definedNames>
    <definedName name="_xlnm._FilterDatabase" localSheetId="0" hidden="1">Sheet1!$A$3:$J$8</definedName>
    <definedName name="_xlnm._FilterDatabase" localSheetId="1" hidden="1">Sheet2!$A$3:$I$4</definedName>
    <definedName name="Slicer_Gender">#N/A</definedName>
    <definedName name="Slicer_House">#N/A</definedName>
  </definedNames>
  <calcPr calcId="162913"/>
  <pivotCaches>
    <pivotCache cacheId="0" r:id="rId6"/>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4:slicerCache r:id="rId8"/>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U3" i="3" l="1"/>
  <c r="U4" i="3"/>
  <c r="U5" i="3"/>
  <c r="U6" i="3"/>
  <c r="U7" i="3"/>
  <c r="E14" i="1" l="1"/>
  <c r="E15" i="1"/>
  <c r="E16" i="1"/>
  <c r="E17" i="1"/>
  <c r="E13" i="1"/>
  <c r="D14" i="1"/>
  <c r="D15" i="1"/>
  <c r="D16" i="1"/>
  <c r="D17" i="1"/>
  <c r="D13" i="1"/>
  <c r="C14" i="1"/>
  <c r="C15" i="1"/>
  <c r="C16" i="1"/>
  <c r="C17" i="1"/>
  <c r="C13" i="1"/>
  <c r="J6" i="1" l="1"/>
  <c r="J7" i="1"/>
  <c r="J8" i="1"/>
  <c r="J5" i="1"/>
  <c r="I5" i="1"/>
  <c r="I6" i="1"/>
  <c r="I7" i="1"/>
  <c r="I8" i="1"/>
  <c r="I4" i="1"/>
  <c r="H5" i="1"/>
  <c r="H6" i="1"/>
  <c r="H7" i="1"/>
  <c r="H8" i="1"/>
  <c r="H4" i="1"/>
</calcChain>
</file>

<file path=xl/sharedStrings.xml><?xml version="1.0" encoding="utf-8"?>
<sst xmlns="http://schemas.openxmlformats.org/spreadsheetml/2006/main" count="327" uniqueCount="124">
  <si>
    <t>S no.</t>
  </si>
  <si>
    <t>First Name</t>
  </si>
  <si>
    <t>Last Name</t>
  </si>
  <si>
    <t>DOJ</t>
  </si>
  <si>
    <t>Sal-Jan</t>
  </si>
  <si>
    <t>Sal-Feb</t>
  </si>
  <si>
    <t>Sal-Mar</t>
  </si>
  <si>
    <t>Sal Total</t>
  </si>
  <si>
    <t>Avg Sal</t>
  </si>
  <si>
    <t>Full Name</t>
  </si>
  <si>
    <t>RNM</t>
  </si>
  <si>
    <t>KUMAR</t>
  </si>
  <si>
    <t xml:space="preserve">GOPAL </t>
  </si>
  <si>
    <t>VERMA</t>
  </si>
  <si>
    <t>JOSEPH</t>
  </si>
  <si>
    <t>PAUL</t>
  </si>
  <si>
    <t xml:space="preserve">HARI </t>
  </si>
  <si>
    <t>SINGH</t>
  </si>
  <si>
    <t>RAJA</t>
  </si>
  <si>
    <t>RAM</t>
  </si>
  <si>
    <t>RNM KUMAR</t>
  </si>
  <si>
    <t>Employee Salary Description</t>
  </si>
  <si>
    <t>Ram has the heighest salary</t>
  </si>
  <si>
    <t>Numbers</t>
  </si>
  <si>
    <t>Round</t>
  </si>
  <si>
    <t>Round Up</t>
  </si>
  <si>
    <t>Round Down</t>
  </si>
  <si>
    <t>Sum: = SUM(from, to)</t>
  </si>
  <si>
    <t>Average:  =AVERAGE(from, to)</t>
  </si>
  <si>
    <t>Round: =ROUND(no, how_much)</t>
  </si>
  <si>
    <t>Jan</t>
  </si>
  <si>
    <t>Feb</t>
  </si>
  <si>
    <t>Mar</t>
  </si>
  <si>
    <t>Apr</t>
  </si>
  <si>
    <t>May</t>
  </si>
  <si>
    <t>Jun</t>
  </si>
  <si>
    <t>Jul</t>
  </si>
  <si>
    <t>Aug</t>
  </si>
  <si>
    <t>Sep</t>
  </si>
  <si>
    <t>Oct</t>
  </si>
  <si>
    <t>Nov</t>
  </si>
  <si>
    <t>Dec</t>
  </si>
  <si>
    <t>Mon</t>
  </si>
  <si>
    <t>Tue</t>
  </si>
  <si>
    <t>Wed</t>
  </si>
  <si>
    <t>Thu</t>
  </si>
  <si>
    <t>Fri</t>
  </si>
  <si>
    <t>Sat</t>
  </si>
  <si>
    <t>Sun</t>
  </si>
  <si>
    <t>January</t>
  </si>
  <si>
    <t>February</t>
  </si>
  <si>
    <t>March</t>
  </si>
  <si>
    <t>April</t>
  </si>
  <si>
    <t>June</t>
  </si>
  <si>
    <t>July</t>
  </si>
  <si>
    <t>August</t>
  </si>
  <si>
    <t>September</t>
  </si>
  <si>
    <t>October</t>
  </si>
  <si>
    <t>November</t>
  </si>
  <si>
    <t>December</t>
  </si>
  <si>
    <t>Monday</t>
  </si>
  <si>
    <t>Tuesday</t>
  </si>
  <si>
    <t>Wednesday</t>
  </si>
  <si>
    <t>Thursday</t>
  </si>
  <si>
    <t>Friday</t>
  </si>
  <si>
    <t>Saturday</t>
  </si>
  <si>
    <t>Sunday</t>
  </si>
  <si>
    <t>AutoFill</t>
  </si>
  <si>
    <t>RNM SCHOOL Data</t>
  </si>
  <si>
    <t>Name</t>
  </si>
  <si>
    <t>Gender</t>
  </si>
  <si>
    <t>Age</t>
  </si>
  <si>
    <t>Class</t>
  </si>
  <si>
    <t>House</t>
  </si>
  <si>
    <t>Unit Test 1</t>
  </si>
  <si>
    <t>Unit Test 2</t>
  </si>
  <si>
    <t>Final Test</t>
  </si>
  <si>
    <t>Email</t>
  </si>
  <si>
    <t>Abhimanyu</t>
  </si>
  <si>
    <t>Arjun</t>
  </si>
  <si>
    <t>Champa</t>
  </si>
  <si>
    <t>Gopal</t>
  </si>
  <si>
    <t>Gopi</t>
  </si>
  <si>
    <t>Hari</t>
  </si>
  <si>
    <t>Indu</t>
  </si>
  <si>
    <t>Kesahv</t>
  </si>
  <si>
    <t>Lalita</t>
  </si>
  <si>
    <t>Madhav</t>
  </si>
  <si>
    <t>Sudevi</t>
  </si>
  <si>
    <t>Vishakha</t>
  </si>
  <si>
    <t>Vrinda</t>
  </si>
  <si>
    <t>M</t>
  </si>
  <si>
    <t>F</t>
  </si>
  <si>
    <t>Bhoomi</t>
  </si>
  <si>
    <t>Vayu</t>
  </si>
  <si>
    <t>Jal</t>
  </si>
  <si>
    <t>Agni</t>
  </si>
  <si>
    <t>Arjun@mail.com</t>
  </si>
  <si>
    <t>Gopal@mail.com</t>
  </si>
  <si>
    <t>Hari@mail.com</t>
  </si>
  <si>
    <t>Kesahv@mail.com</t>
  </si>
  <si>
    <t>Madhav@mail.com</t>
  </si>
  <si>
    <t>RNM@mail.com</t>
  </si>
  <si>
    <t>Abhimanya@mail.com</t>
  </si>
  <si>
    <t>Champa@mail.com</t>
  </si>
  <si>
    <t>Gopi@mail.com</t>
  </si>
  <si>
    <t>Indu@mail.com</t>
  </si>
  <si>
    <t>Lalita@mail.com</t>
  </si>
  <si>
    <t>Sudevi@mail.com</t>
  </si>
  <si>
    <t>Vishakha@mail.com</t>
  </si>
  <si>
    <t>Vrinda@mail.com</t>
  </si>
  <si>
    <t>Drop down</t>
  </si>
  <si>
    <t>Grade</t>
  </si>
  <si>
    <t>A</t>
  </si>
  <si>
    <t>B</t>
  </si>
  <si>
    <t>C</t>
  </si>
  <si>
    <t>Column1</t>
  </si>
  <si>
    <t>Abhimanya</t>
  </si>
  <si>
    <t>mail.com</t>
  </si>
  <si>
    <t>Chart</t>
  </si>
  <si>
    <t>Vlookup: = VLOOKUP()</t>
  </si>
  <si>
    <t>Row Labels</t>
  </si>
  <si>
    <t>Grand Total</t>
  </si>
  <si>
    <t>Sum of Final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</si>
</sst>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14009]dd\ mmmm\ yyyy;@"/>
  </numFmts>
  <fonts count="7" x14ac:knownFonts="1">
    <font>
      <sz val="11"/>
      <color theme="1"/>
      <name val="Calibri"/>
      <family val="2"/>
      <scheme val="minor"/>
    </font>
    <font>
      <b/>
      <sz val="11"/>
      <color theme="1"/>
      <name val="Calibri"/>
      <family val="2"/>
      <scheme val="minor"/>
    </font>
    <font>
      <b/>
      <sz val="18"/>
      <color theme="1"/>
      <name val="Calibri"/>
      <family val="2"/>
      <scheme val="minor"/>
    </font>
    <font>
      <sz val="16"/>
      <color theme="0"/>
      <name val="Calibri"/>
      <family val="2"/>
      <scheme val="minor"/>
    </font>
    <font>
      <b/>
      <sz val="12"/>
      <color theme="1"/>
      <name val="Calibri"/>
      <family val="2"/>
      <scheme val="minor"/>
    </font>
    <font>
      <u/>
      <sz val="11"/>
      <color theme="10"/>
      <name val="Calibri"/>
      <family val="2"/>
      <scheme val="minor"/>
    </font>
    <font>
      <b/>
      <u/>
      <sz val="11"/>
      <color theme="10"/>
      <name val="Calibri"/>
      <family val="2"/>
      <scheme val="minor"/>
    </font>
  </fonts>
  <fills count="6">
    <fill>
      <patternFill patternType="none"/>
    </fill>
    <fill>
      <patternFill patternType="gray125"/>
    </fill>
    <fill>
      <patternFill patternType="solid">
        <fgColor theme="8" tint="0.79998168889431442"/>
        <bgColor indexed="64"/>
      </patternFill>
    </fill>
    <fill>
      <patternFill patternType="solid">
        <fgColor theme="5" tint="-0.249977111117893"/>
        <bgColor indexed="64"/>
      </patternFill>
    </fill>
    <fill>
      <patternFill patternType="solid">
        <fgColor theme="7" tint="0.39997558519241921"/>
        <bgColor indexed="64"/>
      </patternFill>
    </fill>
    <fill>
      <patternFill patternType="solid">
        <fgColor theme="6" tint="0.79998168889431442"/>
        <bgColor theme="6" tint="0.79998168889431442"/>
      </patternFill>
    </fill>
  </fills>
  <borders count="1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5" fillId="0" borderId="0" applyNumberFormat="0" applyFill="0" applyBorder="0" applyAlignment="0" applyProtection="0"/>
  </cellStyleXfs>
  <cellXfs count="41">
    <xf numFmtId="0" fontId="0" fillId="0" borderId="0" xfId="0"/>
    <xf numFmtId="0" fontId="0" fillId="0" borderId="0" xfId="0" applyAlignment="1">
      <alignment horizontal="center"/>
    </xf>
    <xf numFmtId="0" fontId="1" fillId="2" borderId="1" xfId="0" applyFont="1" applyFill="1" applyBorder="1" applyAlignment="1">
      <alignment horizontal="center"/>
    </xf>
    <xf numFmtId="0" fontId="1" fillId="2" borderId="1" xfId="0" applyFont="1" applyFill="1" applyBorder="1"/>
    <xf numFmtId="0" fontId="0" fillId="0" borderId="1" xfId="0" applyBorder="1" applyAlignment="1">
      <alignment horizontal="center"/>
    </xf>
    <xf numFmtId="0" fontId="0" fillId="0" borderId="1" xfId="0" applyBorder="1"/>
    <xf numFmtId="164" fontId="0" fillId="0" borderId="1" xfId="0" applyNumberFormat="1" applyBorder="1" applyAlignment="1">
      <alignment horizontal="center"/>
    </xf>
    <xf numFmtId="1" fontId="0" fillId="0" borderId="1" xfId="0" applyNumberFormat="1" applyBorder="1" applyAlignment="1">
      <alignment horizontal="center"/>
    </xf>
    <xf numFmtId="0" fontId="0" fillId="0" borderId="0" xfId="0" applyAlignment="1">
      <alignment horizontal="center"/>
    </xf>
    <xf numFmtId="0" fontId="0" fillId="0" borderId="0" xfId="0" applyAlignment="1">
      <alignment horizontal="center"/>
    </xf>
    <xf numFmtId="0" fontId="0" fillId="0" borderId="0" xfId="0" applyAlignment="1"/>
    <xf numFmtId="0" fontId="1" fillId="0" borderId="0" xfId="0" applyFont="1"/>
    <xf numFmtId="0" fontId="1" fillId="0" borderId="0" xfId="0" applyFont="1" applyAlignment="1">
      <alignment horizontal="center"/>
    </xf>
    <xf numFmtId="0" fontId="0" fillId="0" borderId="0" xfId="0" applyFont="1"/>
    <xf numFmtId="0" fontId="1" fillId="0" borderId="0" xfId="0" applyFont="1" applyAlignment="1">
      <alignment horizontal="center"/>
    </xf>
    <xf numFmtId="0" fontId="0" fillId="0" borderId="3" xfId="0" applyBorder="1"/>
    <xf numFmtId="0" fontId="5" fillId="0" borderId="4" xfId="1" applyBorder="1"/>
    <xf numFmtId="0" fontId="0" fillId="0" borderId="4" xfId="0" applyBorder="1"/>
    <xf numFmtId="0" fontId="4" fillId="4" borderId="6" xfId="0" applyFont="1" applyFill="1" applyBorder="1"/>
    <xf numFmtId="0" fontId="4" fillId="4" borderId="7" xfId="0" applyFont="1" applyFill="1" applyBorder="1"/>
    <xf numFmtId="0" fontId="0" fillId="0" borderId="8" xfId="0" applyBorder="1"/>
    <xf numFmtId="0" fontId="0" fillId="0" borderId="9" xfId="0" applyBorder="1" applyAlignment="1">
      <alignment horizontal="center"/>
    </xf>
    <xf numFmtId="0" fontId="5" fillId="0" borderId="10" xfId="1" applyBorder="1"/>
    <xf numFmtId="0" fontId="0" fillId="5" borderId="1" xfId="0" applyFont="1" applyFill="1" applyBorder="1" applyAlignment="1">
      <alignment horizontal="center"/>
    </xf>
    <xf numFmtId="0" fontId="0" fillId="0" borderId="1" xfId="0" applyFont="1" applyBorder="1" applyAlignment="1">
      <alignment horizontal="center"/>
    </xf>
    <xf numFmtId="0" fontId="4" fillId="4" borderId="1" xfId="0" applyFont="1" applyFill="1" applyBorder="1"/>
    <xf numFmtId="0" fontId="0" fillId="5" borderId="1" xfId="0" applyFont="1" applyFill="1" applyBorder="1"/>
    <xf numFmtId="0" fontId="0" fillId="0" borderId="1" xfId="0" applyFont="1" applyBorder="1"/>
    <xf numFmtId="0" fontId="5" fillId="4" borderId="5" xfId="1" applyFill="1" applyBorder="1"/>
    <xf numFmtId="0" fontId="5" fillId="5" borderId="1" xfId="1" applyFont="1" applyFill="1" applyBorder="1"/>
    <xf numFmtId="0" fontId="5" fillId="0" borderId="1" xfId="1" applyFont="1" applyBorder="1"/>
    <xf numFmtId="0" fontId="6" fillId="4" borderId="1" xfId="1" applyFont="1" applyFill="1" applyBorder="1"/>
    <xf numFmtId="0" fontId="0" fillId="0" borderId="0" xfId="0" pivotButton="1"/>
    <xf numFmtId="0" fontId="0" fillId="0" borderId="0" xfId="0" applyAlignment="1">
      <alignment horizontal="left"/>
    </xf>
    <xf numFmtId="0" fontId="0" fillId="0" borderId="0" xfId="0" applyNumberFormat="1"/>
    <xf numFmtId="0" fontId="1" fillId="0" borderId="0" xfId="0" applyFont="1" applyAlignment="1">
      <alignment horizontal="center"/>
    </xf>
    <xf numFmtId="0" fontId="0" fillId="0" borderId="0" xfId="0" applyAlignment="1">
      <alignment horizontal="center"/>
    </xf>
    <xf numFmtId="0" fontId="2" fillId="0" borderId="0" xfId="0" applyFont="1" applyAlignment="1">
      <alignment horizontal="center" vertical="center"/>
    </xf>
    <xf numFmtId="0" fontId="2" fillId="0" borderId="2" xfId="0" applyFont="1" applyBorder="1" applyAlignment="1">
      <alignment horizontal="center" vertical="center"/>
    </xf>
    <xf numFmtId="0" fontId="3" fillId="3" borderId="0" xfId="0" applyFont="1" applyFill="1" applyAlignment="1">
      <alignment horizontal="center"/>
    </xf>
    <xf numFmtId="0" fontId="0" fillId="3" borderId="0" xfId="0" applyFill="1" applyAlignment="1">
      <alignment horizontal="center"/>
    </xf>
  </cellXfs>
  <cellStyles count="2">
    <cellStyle name="Hyperlink" xfId="1" builtinId="8"/>
    <cellStyle name="Normal" xfId="0" builtinId="0"/>
  </cellStyles>
  <dxfs count="19">
    <dxf>
      <numFmt numFmtId="0" formatCode="General"/>
    </dxf>
    <dxf>
      <font>
        <b/>
        <i val="0"/>
        <strike val="0"/>
        <condense val="0"/>
        <extend val="0"/>
        <outline val="0"/>
        <shadow val="0"/>
        <u val="none"/>
        <vertAlign val="baseline"/>
        <sz val="11"/>
        <color theme="1"/>
        <name val="Calibri"/>
        <scheme val="minor"/>
      </font>
    </dxf>
    <dxf>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scheme val="minor"/>
      </font>
      <fill>
        <patternFill patternType="solid">
          <fgColor indexed="64"/>
          <bgColor theme="7" tint="0.39997558519241921"/>
        </patternFill>
      </fill>
      <border diagonalUp="0" diagonalDown="0" outline="0">
        <left style="thin">
          <color indexed="64"/>
        </left>
        <right style="thin">
          <color indexed="64"/>
        </right>
        <top/>
        <bottom/>
      </border>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Sheet1!$D$37</c:f>
              <c:strCache>
                <c:ptCount val="1"/>
                <c:pt idx="0">
                  <c:v>Abhimanyu</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a:noFill/>
                    </a:ln>
                    <a:effectLst/>
                  </c:spPr>
                </c15:leaderLines>
              </c:ext>
            </c:extLst>
          </c:dLbls>
          <c:cat>
            <c:strRef>
              <c:f>Sheet1!$E$36</c:f>
              <c:strCache>
                <c:ptCount val="1"/>
                <c:pt idx="0">
                  <c:v>Final Test</c:v>
                </c:pt>
              </c:strCache>
            </c:strRef>
          </c:cat>
          <c:val>
            <c:numRef>
              <c:f>Sheet1!$E$37</c:f>
              <c:numCache>
                <c:formatCode>General</c:formatCode>
                <c:ptCount val="1"/>
                <c:pt idx="0">
                  <c:v>99</c:v>
                </c:pt>
              </c:numCache>
            </c:numRef>
          </c:val>
          <c:extLst>
            <c:ext xmlns:c16="http://schemas.microsoft.com/office/drawing/2014/chart" uri="{C3380CC4-5D6E-409C-BE32-E72D297353CC}">
              <c16:uniqueId val="{00000000-E835-40CB-A9F8-FECD7DF6831F}"/>
            </c:ext>
          </c:extLst>
        </c:ser>
        <c:ser>
          <c:idx val="1"/>
          <c:order val="1"/>
          <c:tx>
            <c:strRef>
              <c:f>Sheet1!$D$38</c:f>
              <c:strCache>
                <c:ptCount val="1"/>
                <c:pt idx="0">
                  <c:v>Arjun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a:noFill/>
                    </a:ln>
                    <a:effectLst/>
                  </c:spPr>
                </c15:leaderLines>
              </c:ext>
            </c:extLst>
          </c:dLbls>
          <c:cat>
            <c:strRef>
              <c:f>Sheet1!$E$36</c:f>
              <c:strCache>
                <c:ptCount val="1"/>
                <c:pt idx="0">
                  <c:v>Final Test</c:v>
                </c:pt>
              </c:strCache>
            </c:strRef>
          </c:cat>
          <c:val>
            <c:numRef>
              <c:f>Sheet1!$E$38</c:f>
              <c:numCache>
                <c:formatCode>General</c:formatCode>
                <c:ptCount val="1"/>
                <c:pt idx="0">
                  <c:v>91</c:v>
                </c:pt>
              </c:numCache>
            </c:numRef>
          </c:val>
          <c:extLst>
            <c:ext xmlns:c16="http://schemas.microsoft.com/office/drawing/2014/chart" uri="{C3380CC4-5D6E-409C-BE32-E72D297353CC}">
              <c16:uniqueId val="{00000001-E835-40CB-A9F8-FECD7DF6831F}"/>
            </c:ext>
          </c:extLst>
        </c:ser>
        <c:ser>
          <c:idx val="2"/>
          <c:order val="2"/>
          <c:tx>
            <c:strRef>
              <c:f>Sheet1!$D$39</c:f>
              <c:strCache>
                <c:ptCount val="1"/>
                <c:pt idx="0">
                  <c:v>Champa</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a:noFill/>
                    </a:ln>
                    <a:effectLst/>
                  </c:spPr>
                </c15:leaderLines>
              </c:ext>
            </c:extLst>
          </c:dLbls>
          <c:cat>
            <c:strRef>
              <c:f>Sheet1!$E$36</c:f>
              <c:strCache>
                <c:ptCount val="1"/>
                <c:pt idx="0">
                  <c:v>Final Test</c:v>
                </c:pt>
              </c:strCache>
            </c:strRef>
          </c:cat>
          <c:val>
            <c:numRef>
              <c:f>Sheet1!$E$39</c:f>
              <c:numCache>
                <c:formatCode>General</c:formatCode>
                <c:ptCount val="1"/>
                <c:pt idx="0">
                  <c:v>88</c:v>
                </c:pt>
              </c:numCache>
            </c:numRef>
          </c:val>
          <c:extLst>
            <c:ext xmlns:c16="http://schemas.microsoft.com/office/drawing/2014/chart" uri="{C3380CC4-5D6E-409C-BE32-E72D297353CC}">
              <c16:uniqueId val="{00000002-E835-40CB-A9F8-FECD7DF6831F}"/>
            </c:ext>
          </c:extLst>
        </c:ser>
        <c:ser>
          <c:idx val="3"/>
          <c:order val="3"/>
          <c:tx>
            <c:strRef>
              <c:f>Sheet1!$D$40</c:f>
              <c:strCache>
                <c:ptCount val="1"/>
                <c:pt idx="0">
                  <c:v>Gopal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a:noFill/>
                    </a:ln>
                    <a:effectLst/>
                  </c:spPr>
                </c15:leaderLines>
              </c:ext>
            </c:extLst>
          </c:dLbls>
          <c:cat>
            <c:strRef>
              <c:f>Sheet1!$E$36</c:f>
              <c:strCache>
                <c:ptCount val="1"/>
                <c:pt idx="0">
                  <c:v>Final Test</c:v>
                </c:pt>
              </c:strCache>
            </c:strRef>
          </c:cat>
          <c:val>
            <c:numRef>
              <c:f>Sheet1!$E$40</c:f>
              <c:numCache>
                <c:formatCode>General</c:formatCode>
                <c:ptCount val="1"/>
                <c:pt idx="0">
                  <c:v>79</c:v>
                </c:pt>
              </c:numCache>
            </c:numRef>
          </c:val>
          <c:extLst>
            <c:ext xmlns:c16="http://schemas.microsoft.com/office/drawing/2014/chart" uri="{C3380CC4-5D6E-409C-BE32-E72D297353CC}">
              <c16:uniqueId val="{00000003-E835-40CB-A9F8-FECD7DF6831F}"/>
            </c:ext>
          </c:extLst>
        </c:ser>
        <c:ser>
          <c:idx val="4"/>
          <c:order val="4"/>
          <c:tx>
            <c:strRef>
              <c:f>Sheet1!$D$41</c:f>
              <c:strCache>
                <c:ptCount val="1"/>
                <c:pt idx="0">
                  <c:v>Gopi</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a:noFill/>
                    </a:ln>
                    <a:effectLst/>
                  </c:spPr>
                </c15:leaderLines>
              </c:ext>
            </c:extLst>
          </c:dLbls>
          <c:cat>
            <c:strRef>
              <c:f>Sheet1!$E$36</c:f>
              <c:strCache>
                <c:ptCount val="1"/>
                <c:pt idx="0">
                  <c:v>Final Test</c:v>
                </c:pt>
              </c:strCache>
            </c:strRef>
          </c:cat>
          <c:val>
            <c:numRef>
              <c:f>Sheet1!$E$41</c:f>
              <c:numCache>
                <c:formatCode>General</c:formatCode>
                <c:ptCount val="1"/>
                <c:pt idx="0">
                  <c:v>96</c:v>
                </c:pt>
              </c:numCache>
            </c:numRef>
          </c:val>
          <c:extLst>
            <c:ext xmlns:c16="http://schemas.microsoft.com/office/drawing/2014/chart" uri="{C3380CC4-5D6E-409C-BE32-E72D297353CC}">
              <c16:uniqueId val="{00000004-E835-40CB-A9F8-FECD7DF6831F}"/>
            </c:ext>
          </c:extLst>
        </c:ser>
        <c:ser>
          <c:idx val="5"/>
          <c:order val="5"/>
          <c:tx>
            <c:strRef>
              <c:f>Sheet1!$D$42</c:f>
              <c:strCache>
                <c:ptCount val="1"/>
                <c:pt idx="0">
                  <c:v>Hari</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a:noFill/>
                    </a:ln>
                    <a:effectLst/>
                  </c:spPr>
                </c15:leaderLines>
              </c:ext>
            </c:extLst>
          </c:dLbls>
          <c:cat>
            <c:strRef>
              <c:f>Sheet1!$E$36</c:f>
              <c:strCache>
                <c:ptCount val="1"/>
                <c:pt idx="0">
                  <c:v>Final Test</c:v>
                </c:pt>
              </c:strCache>
            </c:strRef>
          </c:cat>
          <c:val>
            <c:numRef>
              <c:f>Sheet1!$E$42</c:f>
              <c:numCache>
                <c:formatCode>General</c:formatCode>
                <c:ptCount val="1"/>
                <c:pt idx="0">
                  <c:v>80</c:v>
                </c:pt>
              </c:numCache>
            </c:numRef>
          </c:val>
          <c:extLst>
            <c:ext xmlns:c16="http://schemas.microsoft.com/office/drawing/2014/chart" uri="{C3380CC4-5D6E-409C-BE32-E72D297353CC}">
              <c16:uniqueId val="{00000005-E835-40CB-A9F8-FECD7DF6831F}"/>
            </c:ext>
          </c:extLst>
        </c:ser>
        <c:ser>
          <c:idx val="6"/>
          <c:order val="6"/>
          <c:tx>
            <c:strRef>
              <c:f>Sheet1!$D$43</c:f>
              <c:strCache>
                <c:ptCount val="1"/>
                <c:pt idx="0">
                  <c:v>Indu</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a:noFill/>
                    </a:ln>
                    <a:effectLst/>
                  </c:spPr>
                </c15:leaderLines>
              </c:ext>
            </c:extLst>
          </c:dLbls>
          <c:cat>
            <c:strRef>
              <c:f>Sheet1!$E$36</c:f>
              <c:strCache>
                <c:ptCount val="1"/>
                <c:pt idx="0">
                  <c:v>Final Test</c:v>
                </c:pt>
              </c:strCache>
            </c:strRef>
          </c:cat>
          <c:val>
            <c:numRef>
              <c:f>Sheet1!$E$43</c:f>
              <c:numCache>
                <c:formatCode>General</c:formatCode>
                <c:ptCount val="1"/>
                <c:pt idx="0">
                  <c:v>89</c:v>
                </c:pt>
              </c:numCache>
            </c:numRef>
          </c:val>
          <c:extLst>
            <c:ext xmlns:c16="http://schemas.microsoft.com/office/drawing/2014/chart" uri="{C3380CC4-5D6E-409C-BE32-E72D297353CC}">
              <c16:uniqueId val="{00000006-E835-40CB-A9F8-FECD7DF6831F}"/>
            </c:ext>
          </c:extLst>
        </c:ser>
        <c:ser>
          <c:idx val="7"/>
          <c:order val="7"/>
          <c:tx>
            <c:strRef>
              <c:f>Sheet1!$D$44</c:f>
              <c:strCache>
                <c:ptCount val="1"/>
                <c:pt idx="0">
                  <c:v>Kesahv</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a:noFill/>
                    </a:ln>
                    <a:effectLst/>
                  </c:spPr>
                </c15:leaderLines>
              </c:ext>
            </c:extLst>
          </c:dLbls>
          <c:cat>
            <c:strRef>
              <c:f>Sheet1!$E$36</c:f>
              <c:strCache>
                <c:ptCount val="1"/>
                <c:pt idx="0">
                  <c:v>Final Test</c:v>
                </c:pt>
              </c:strCache>
            </c:strRef>
          </c:cat>
          <c:val>
            <c:numRef>
              <c:f>Sheet1!$E$44</c:f>
              <c:numCache>
                <c:formatCode>General</c:formatCode>
                <c:ptCount val="1"/>
                <c:pt idx="0">
                  <c:v>96</c:v>
                </c:pt>
              </c:numCache>
            </c:numRef>
          </c:val>
          <c:extLst>
            <c:ext xmlns:c16="http://schemas.microsoft.com/office/drawing/2014/chart" uri="{C3380CC4-5D6E-409C-BE32-E72D297353CC}">
              <c16:uniqueId val="{00000007-E835-40CB-A9F8-FECD7DF6831F}"/>
            </c:ext>
          </c:extLst>
        </c:ser>
        <c:ser>
          <c:idx val="8"/>
          <c:order val="8"/>
          <c:tx>
            <c:strRef>
              <c:f>Sheet1!$D$45</c:f>
              <c:strCache>
                <c:ptCount val="1"/>
                <c:pt idx="0">
                  <c:v>Lalita</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a:noFill/>
                    </a:ln>
                    <a:effectLst/>
                  </c:spPr>
                </c15:leaderLines>
              </c:ext>
            </c:extLst>
          </c:dLbls>
          <c:cat>
            <c:strRef>
              <c:f>Sheet1!$E$36</c:f>
              <c:strCache>
                <c:ptCount val="1"/>
                <c:pt idx="0">
                  <c:v>Final Test</c:v>
                </c:pt>
              </c:strCache>
            </c:strRef>
          </c:cat>
          <c:val>
            <c:numRef>
              <c:f>Sheet1!$E$45</c:f>
              <c:numCache>
                <c:formatCode>General</c:formatCode>
                <c:ptCount val="1"/>
                <c:pt idx="0">
                  <c:v>92</c:v>
                </c:pt>
              </c:numCache>
            </c:numRef>
          </c:val>
          <c:extLst>
            <c:ext xmlns:c16="http://schemas.microsoft.com/office/drawing/2014/chart" uri="{C3380CC4-5D6E-409C-BE32-E72D297353CC}">
              <c16:uniqueId val="{00000008-E835-40CB-A9F8-FECD7DF6831F}"/>
            </c:ext>
          </c:extLst>
        </c:ser>
        <c:ser>
          <c:idx val="9"/>
          <c:order val="9"/>
          <c:tx>
            <c:strRef>
              <c:f>Sheet1!$D$46</c:f>
              <c:strCache>
                <c:ptCount val="1"/>
                <c:pt idx="0">
                  <c:v>Madhav</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a:noFill/>
                    </a:ln>
                    <a:effectLst/>
                  </c:spPr>
                </c15:leaderLines>
              </c:ext>
            </c:extLst>
          </c:dLbls>
          <c:cat>
            <c:strRef>
              <c:f>Sheet1!$E$36</c:f>
              <c:strCache>
                <c:ptCount val="1"/>
                <c:pt idx="0">
                  <c:v>Final Test</c:v>
                </c:pt>
              </c:strCache>
            </c:strRef>
          </c:cat>
          <c:val>
            <c:numRef>
              <c:f>Sheet1!$E$46</c:f>
              <c:numCache>
                <c:formatCode>General</c:formatCode>
                <c:ptCount val="1"/>
                <c:pt idx="0">
                  <c:v>89</c:v>
                </c:pt>
              </c:numCache>
            </c:numRef>
          </c:val>
          <c:extLst>
            <c:ext xmlns:c16="http://schemas.microsoft.com/office/drawing/2014/chart" uri="{C3380CC4-5D6E-409C-BE32-E72D297353CC}">
              <c16:uniqueId val="{00000009-E835-40CB-A9F8-FECD7DF6831F}"/>
            </c:ext>
          </c:extLst>
        </c:ser>
        <c:ser>
          <c:idx val="10"/>
          <c:order val="10"/>
          <c:tx>
            <c:strRef>
              <c:f>Sheet1!$D$47</c:f>
              <c:strCache>
                <c:ptCount val="1"/>
                <c:pt idx="0">
                  <c:v>RNM</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a:noFill/>
                    </a:ln>
                    <a:effectLst/>
                  </c:spPr>
                </c15:leaderLines>
              </c:ext>
            </c:extLst>
          </c:dLbls>
          <c:cat>
            <c:strRef>
              <c:f>Sheet1!$E$36</c:f>
              <c:strCache>
                <c:ptCount val="1"/>
                <c:pt idx="0">
                  <c:v>Final Test</c:v>
                </c:pt>
              </c:strCache>
            </c:strRef>
          </c:cat>
          <c:val>
            <c:numRef>
              <c:f>Sheet1!$E$47</c:f>
              <c:numCache>
                <c:formatCode>General</c:formatCode>
                <c:ptCount val="1"/>
                <c:pt idx="0">
                  <c:v>77</c:v>
                </c:pt>
              </c:numCache>
            </c:numRef>
          </c:val>
          <c:extLst>
            <c:ext xmlns:c16="http://schemas.microsoft.com/office/drawing/2014/chart" uri="{C3380CC4-5D6E-409C-BE32-E72D297353CC}">
              <c16:uniqueId val="{0000000A-E835-40CB-A9F8-FECD7DF6831F}"/>
            </c:ext>
          </c:extLst>
        </c:ser>
        <c:ser>
          <c:idx val="11"/>
          <c:order val="11"/>
          <c:tx>
            <c:strRef>
              <c:f>Sheet1!$D$48</c:f>
              <c:strCache>
                <c:ptCount val="1"/>
                <c:pt idx="0">
                  <c:v>Sudevi</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a:noFill/>
                    </a:ln>
                    <a:effectLst/>
                  </c:spPr>
                </c15:leaderLines>
              </c:ext>
            </c:extLst>
          </c:dLbls>
          <c:cat>
            <c:strRef>
              <c:f>Sheet1!$E$36</c:f>
              <c:strCache>
                <c:ptCount val="1"/>
                <c:pt idx="0">
                  <c:v>Final Test</c:v>
                </c:pt>
              </c:strCache>
            </c:strRef>
          </c:cat>
          <c:val>
            <c:numRef>
              <c:f>Sheet1!$E$48</c:f>
              <c:numCache>
                <c:formatCode>General</c:formatCode>
                <c:ptCount val="1"/>
                <c:pt idx="0">
                  <c:v>87</c:v>
                </c:pt>
              </c:numCache>
            </c:numRef>
          </c:val>
          <c:extLst>
            <c:ext xmlns:c16="http://schemas.microsoft.com/office/drawing/2014/chart" uri="{C3380CC4-5D6E-409C-BE32-E72D297353CC}">
              <c16:uniqueId val="{0000000B-E835-40CB-A9F8-FECD7DF6831F}"/>
            </c:ext>
          </c:extLst>
        </c:ser>
        <c:ser>
          <c:idx val="12"/>
          <c:order val="12"/>
          <c:tx>
            <c:strRef>
              <c:f>Sheet1!$D$49</c:f>
              <c:strCache>
                <c:ptCount val="1"/>
                <c:pt idx="0">
                  <c:v>Vishakha</c:v>
                </c:pt>
              </c:strCache>
            </c:strRef>
          </c:tx>
          <c:spPr>
            <a:solidFill>
              <a:schemeClr val="accent1">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a:noFill/>
                    </a:ln>
                    <a:effectLst/>
                  </c:spPr>
                </c15:leaderLines>
              </c:ext>
            </c:extLst>
          </c:dLbls>
          <c:cat>
            <c:strRef>
              <c:f>Sheet1!$E$36</c:f>
              <c:strCache>
                <c:ptCount val="1"/>
                <c:pt idx="0">
                  <c:v>Final Test</c:v>
                </c:pt>
              </c:strCache>
            </c:strRef>
          </c:cat>
          <c:val>
            <c:numRef>
              <c:f>Sheet1!$E$49</c:f>
              <c:numCache>
                <c:formatCode>General</c:formatCode>
                <c:ptCount val="1"/>
                <c:pt idx="0">
                  <c:v>85</c:v>
                </c:pt>
              </c:numCache>
            </c:numRef>
          </c:val>
          <c:extLst>
            <c:ext xmlns:c16="http://schemas.microsoft.com/office/drawing/2014/chart" uri="{C3380CC4-5D6E-409C-BE32-E72D297353CC}">
              <c16:uniqueId val="{0000000C-E835-40CB-A9F8-FECD7DF6831F}"/>
            </c:ext>
          </c:extLst>
        </c:ser>
        <c:ser>
          <c:idx val="13"/>
          <c:order val="13"/>
          <c:tx>
            <c:strRef>
              <c:f>Sheet1!$D$50</c:f>
              <c:strCache>
                <c:ptCount val="1"/>
                <c:pt idx="0">
                  <c:v>Vrinda</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a:noFill/>
                    </a:ln>
                    <a:effectLst/>
                  </c:spPr>
                </c15:leaderLines>
              </c:ext>
            </c:extLst>
          </c:dLbls>
          <c:cat>
            <c:strRef>
              <c:f>Sheet1!$E$36</c:f>
              <c:strCache>
                <c:ptCount val="1"/>
                <c:pt idx="0">
                  <c:v>Final Test</c:v>
                </c:pt>
              </c:strCache>
            </c:strRef>
          </c:cat>
          <c:val>
            <c:numRef>
              <c:f>Sheet1!$E$50</c:f>
              <c:numCache>
                <c:formatCode>General</c:formatCode>
                <c:ptCount val="1"/>
                <c:pt idx="0">
                  <c:v>98</c:v>
                </c:pt>
              </c:numCache>
            </c:numRef>
          </c:val>
          <c:extLst>
            <c:ext xmlns:c16="http://schemas.microsoft.com/office/drawing/2014/chart" uri="{C3380CC4-5D6E-409C-BE32-E72D297353CC}">
              <c16:uniqueId val="{0000000D-E835-40CB-A9F8-FECD7DF6831F}"/>
            </c:ext>
          </c:extLst>
        </c:ser>
        <c:dLbls>
          <c:dLblPos val="outEnd"/>
          <c:showLegendKey val="0"/>
          <c:showVal val="1"/>
          <c:showCatName val="0"/>
          <c:showSerName val="0"/>
          <c:showPercent val="0"/>
          <c:showBubbleSize val="0"/>
        </c:dLbls>
        <c:gapWidth val="0"/>
        <c:axId val="58327808"/>
        <c:axId val="58327392"/>
      </c:barChart>
      <c:catAx>
        <c:axId val="58327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27392"/>
        <c:crosses val="autoZero"/>
        <c:auto val="1"/>
        <c:lblAlgn val="ctr"/>
        <c:lblOffset val="100"/>
        <c:noMultiLvlLbl val="0"/>
      </c:catAx>
      <c:valAx>
        <c:axId val="58327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278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2761</xdr:colOff>
      <xdr:row>35</xdr:row>
      <xdr:rowOff>28161</xdr:rowOff>
    </xdr:from>
    <xdr:to>
      <xdr:col>12</xdr:col>
      <xdr:colOff>560457</xdr:colOff>
      <xdr:row>50</xdr:row>
      <xdr:rowOff>21535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361950</xdr:colOff>
      <xdr:row>9</xdr:row>
      <xdr:rowOff>165101</xdr:rowOff>
    </xdr:from>
    <xdr:to>
      <xdr:col>12</xdr:col>
      <xdr:colOff>361950</xdr:colOff>
      <xdr:row>15</xdr:row>
      <xdr:rowOff>57151</xdr:rowOff>
    </xdr:to>
    <mc:AlternateContent xmlns:mc="http://schemas.openxmlformats.org/markup-compatibility/2006" xmlns:sle15="http://schemas.microsoft.com/office/drawing/2012/slicer">
      <mc:Choice Requires="sle15">
        <xdr:graphicFrame macro="">
          <xdr:nvGraphicFramePr>
            <xdr:cNvPr id="2"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899400" y="1917701"/>
              <a:ext cx="1828800" cy="9969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368300</xdr:colOff>
      <xdr:row>1</xdr:row>
      <xdr:rowOff>31751</xdr:rowOff>
    </xdr:from>
    <xdr:to>
      <xdr:col>12</xdr:col>
      <xdr:colOff>368300</xdr:colOff>
      <xdr:row>9</xdr:row>
      <xdr:rowOff>57151</xdr:rowOff>
    </xdr:to>
    <mc:AlternateContent xmlns:mc="http://schemas.openxmlformats.org/markup-compatibility/2006" xmlns:sle15="http://schemas.microsoft.com/office/drawing/2012/slicer">
      <mc:Choice Requires="sle15">
        <xdr:graphicFrame macro="">
          <xdr:nvGraphicFramePr>
            <xdr:cNvPr id="3" name="House"/>
            <xdr:cNvGraphicFramePr/>
          </xdr:nvGraphicFramePr>
          <xdr:xfrm>
            <a:off x="0" y="0"/>
            <a:ext cx="0" cy="0"/>
          </xdr:xfrm>
          <a:graphic>
            <a:graphicData uri="http://schemas.microsoft.com/office/drawing/2010/slicer">
              <sle:slicer xmlns:sle="http://schemas.microsoft.com/office/drawing/2010/slicer" name="House"/>
            </a:graphicData>
          </a:graphic>
        </xdr:graphicFrame>
      </mc:Choice>
      <mc:Fallback xmlns="">
        <xdr:sp macro="" textlink="">
          <xdr:nvSpPr>
            <xdr:cNvPr id="0" name=""/>
            <xdr:cNvSpPr>
              <a:spLocks noTextEdit="1"/>
            </xdr:cNvSpPr>
          </xdr:nvSpPr>
          <xdr:spPr>
            <a:xfrm>
              <a:off x="7905750" y="298451"/>
              <a:ext cx="1828800" cy="15113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RD" refreshedDate="46064.046797569441" createdVersion="6" refreshedVersion="6" minRefreshableVersion="3" recordCount="14">
  <cacheSource type="worksheet">
    <worksheetSource ref="A1:H15" sheet="Sheet4"/>
  </cacheSource>
  <cacheFields count="8">
    <cacheField name="Name" numFmtId="0">
      <sharedItems count="14">
        <s v="Abhimanyu"/>
        <s v="Arjun"/>
        <s v="Champa"/>
        <s v="Gopal"/>
        <s v="Gopi"/>
        <s v="Hari"/>
        <s v="Indu"/>
        <s v="Kesahv"/>
        <s v="Lalita"/>
        <s v="Madhav"/>
        <s v="RNM"/>
        <s v="Sudevi"/>
        <s v="Vishakha"/>
        <s v="Vrinda"/>
      </sharedItems>
    </cacheField>
    <cacheField name="Gender" numFmtId="0">
      <sharedItems count="2">
        <s v="M"/>
        <s v="F"/>
      </sharedItems>
    </cacheField>
    <cacheField name="Age" numFmtId="0">
      <sharedItems containsSemiMixedTypes="0" containsString="0" containsNumber="1" containsInteger="1" minValue="11" maxValue="17"/>
    </cacheField>
    <cacheField name="Class" numFmtId="0">
      <sharedItems containsSemiMixedTypes="0" containsString="0" containsNumber="1" containsInteger="1" minValue="5" maxValue="10"/>
    </cacheField>
    <cacheField name="House" numFmtId="0">
      <sharedItems/>
    </cacheField>
    <cacheField name="Unit Test 1" numFmtId="0">
      <sharedItems containsSemiMixedTypes="0" containsString="0" containsNumber="1" containsInteger="1" minValue="70" maxValue="91"/>
    </cacheField>
    <cacheField name="Unit Test 2" numFmtId="0">
      <sharedItems containsSemiMixedTypes="0" containsString="0" containsNumber="1" containsInteger="1" minValue="75" maxValue="96"/>
    </cacheField>
    <cacheField name="Final Test" numFmtId="0">
      <sharedItems containsSemiMixedTypes="0" containsString="0" containsNumber="1" containsInteger="1" minValue="77" maxValue="9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4">
  <r>
    <x v="0"/>
    <x v="0"/>
    <n v="16"/>
    <n v="10"/>
    <s v="Bhoomi"/>
    <n v="84"/>
    <n v="79"/>
    <n v="99"/>
  </r>
  <r>
    <x v="1"/>
    <x v="0"/>
    <n v="11"/>
    <n v="5"/>
    <s v="Vayu"/>
    <n v="82"/>
    <n v="83"/>
    <n v="91"/>
  </r>
  <r>
    <x v="2"/>
    <x v="1"/>
    <n v="15"/>
    <n v="8"/>
    <s v="Jal"/>
    <n v="81"/>
    <n v="78"/>
    <n v="88"/>
  </r>
  <r>
    <x v="3"/>
    <x v="0"/>
    <n v="14"/>
    <n v="8"/>
    <s v="Bhoomi"/>
    <n v="70"/>
    <n v="75"/>
    <n v="79"/>
  </r>
  <r>
    <x v="4"/>
    <x v="1"/>
    <n v="16"/>
    <n v="10"/>
    <s v="Agni"/>
    <n v="88"/>
    <n v="92"/>
    <n v="96"/>
  </r>
  <r>
    <x v="5"/>
    <x v="0"/>
    <n v="16"/>
    <n v="10"/>
    <s v="Bhoomi"/>
    <n v="82"/>
    <n v="81"/>
    <n v="80"/>
  </r>
  <r>
    <x v="6"/>
    <x v="1"/>
    <n v="14"/>
    <n v="8"/>
    <s v="Vayu"/>
    <n v="90"/>
    <n v="86"/>
    <n v="89"/>
  </r>
  <r>
    <x v="7"/>
    <x v="0"/>
    <n v="15"/>
    <n v="9"/>
    <s v="Agni"/>
    <n v="87"/>
    <n v="89"/>
    <n v="96"/>
  </r>
  <r>
    <x v="8"/>
    <x v="1"/>
    <n v="17"/>
    <n v="10"/>
    <s v="Vayu"/>
    <n v="70"/>
    <n v="90"/>
    <n v="92"/>
  </r>
  <r>
    <x v="9"/>
    <x v="0"/>
    <n v="12"/>
    <n v="7"/>
    <s v="Jal"/>
    <n v="86"/>
    <n v="92"/>
    <n v="89"/>
  </r>
  <r>
    <x v="10"/>
    <x v="0"/>
    <n v="16"/>
    <n v="10"/>
    <s v="Agni"/>
    <n v="86"/>
    <n v="81"/>
    <n v="77"/>
  </r>
  <r>
    <x v="11"/>
    <x v="1"/>
    <n v="16"/>
    <n v="10"/>
    <s v="Jal"/>
    <n v="81"/>
    <n v="80"/>
    <n v="87"/>
  </r>
  <r>
    <x v="12"/>
    <x v="1"/>
    <n v="16"/>
    <n v="10"/>
    <s v="Bhoomi"/>
    <n v="70"/>
    <n v="87"/>
    <n v="85"/>
  </r>
  <r>
    <x v="13"/>
    <x v="1"/>
    <n v="14"/>
    <n v="8"/>
    <s v="Agni"/>
    <n v="91"/>
    <n v="96"/>
    <n v="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6" firstHeaderRow="1" firstDataRow="1" firstDataCol="1"/>
  <pivotFields count="8">
    <pivotField showAll="0">
      <items count="15">
        <item x="0"/>
        <item x="1"/>
        <item x="2"/>
        <item x="3"/>
        <item x="4"/>
        <item x="5"/>
        <item x="6"/>
        <item x="7"/>
        <item x="8"/>
        <item x="9"/>
        <item x="10"/>
        <item x="11"/>
        <item x="12"/>
        <item x="13"/>
        <item t="default"/>
      </items>
    </pivotField>
    <pivotField axis="axisRow" showAll="0">
      <items count="3">
        <item x="1"/>
        <item x="0"/>
        <item t="default"/>
      </items>
    </pivotField>
    <pivotField showAll="0"/>
    <pivotField showAll="0"/>
    <pivotField showAll="0"/>
    <pivotField showAll="0"/>
    <pivotField showAll="0"/>
    <pivotField dataField="1" showAll="0"/>
  </pivotFields>
  <rowFields count="1">
    <field x="1"/>
  </rowFields>
  <rowItems count="3">
    <i>
      <x/>
    </i>
    <i>
      <x v="1"/>
    </i>
    <i t="grand">
      <x/>
    </i>
  </rowItems>
  <colItems count="1">
    <i/>
  </colItems>
  <dataFields count="1">
    <dataField name="Sum of Final Tes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extLst>
    <x:ext xmlns:x15="http://schemas.microsoft.com/office/spreadsheetml/2010/11/main" uri="{2F2917AC-EB37-4324-AD4E-5DD8C200BD13}">
      <x15:tableSlicerCache tableId="3"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House" sourceName="House">
  <extLst>
    <x:ext xmlns:x15="http://schemas.microsoft.com/office/spreadsheetml/2010/11/main" uri="{2F2917AC-EB37-4324-AD4E-5DD8C200BD13}">
      <x15:tableSlicerCache tableId="3"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41300"/>
  <slicer name="House" cache="Slicer_House" caption="House" rowHeight="241300"/>
</slicers>
</file>

<file path=xl/tables/table1.xml><?xml version="1.0" encoding="utf-8"?>
<table xmlns="http://schemas.openxmlformats.org/spreadsheetml/2006/main" id="4" name="Table4" displayName="Table4" ref="D26:D31" totalsRowShown="0" headerRowDxfId="18" dataDxfId="17">
  <tableColumns count="1">
    <tableColumn id="1" name="Name" dataDxfId="16"/>
  </tableColumns>
  <tableStyleInfo name="TableStyleLight18" showFirstColumn="0" showLastColumn="0" showRowStripes="1" showColumnStripes="0"/>
</table>
</file>

<file path=xl/tables/table2.xml><?xml version="1.0" encoding="utf-8"?>
<table xmlns="http://schemas.openxmlformats.org/spreadsheetml/2006/main" id="5" name="Table5" displayName="Table5" ref="B26:B30" totalsRowShown="0">
  <autoFilter ref="B26:B30"/>
  <tableColumns count="1">
    <tableColumn id="1" name="Column1"/>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A3:I17" totalsRowShown="0" headerRowDxfId="15" dataDxfId="13" headerRowBorderDxfId="14" tableBorderDxfId="12" totalsRowBorderDxfId="11">
  <autoFilter ref="A3:I17"/>
  <tableColumns count="9">
    <tableColumn id="1" name="Name" dataDxfId="10"/>
    <tableColumn id="2" name="Gender" dataDxfId="9"/>
    <tableColumn id="3" name="Age" dataDxfId="8"/>
    <tableColumn id="4" name="Class" dataDxfId="7"/>
    <tableColumn id="5" name="House" dataDxfId="6"/>
    <tableColumn id="6" name="Unit Test 1" dataDxfId="5"/>
    <tableColumn id="7" name="Unit Test 2" dataDxfId="4"/>
    <tableColumn id="8" name="Final Test" dataDxfId="3"/>
    <tableColumn id="9" name="Email" dataDxfId="2" dataCellStyle="Hyperlink"/>
  </tableColumns>
  <tableStyleInfo name="TableStyleLight18" showFirstColumn="0" showLastColumn="0" showRowStripes="1" showColumnStripes="0"/>
</table>
</file>

<file path=xl/tables/table4.xml><?xml version="1.0" encoding="utf-8"?>
<table xmlns="http://schemas.openxmlformats.org/spreadsheetml/2006/main" id="6" name="Table6" displayName="Table6" ref="T2:U7" totalsRowShown="0" headerRowDxfId="1">
  <tableColumns count="2">
    <tableColumn id="1" name="Name"/>
    <tableColumn id="2" name="Final Test" dataDxfId="0">
      <calculatedColumnFormula>VLOOKUP(I16,$I$2:$P$16,8,TRUE)</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8" Type="http://schemas.openxmlformats.org/officeDocument/2006/relationships/hyperlink" Target="mailto:Lalita@mail.com" TargetMode="External"/><Relationship Id="rId13" Type="http://schemas.openxmlformats.org/officeDocument/2006/relationships/hyperlink" Target="mailto:Vrinda@mail.com" TargetMode="External"/><Relationship Id="rId3" Type="http://schemas.openxmlformats.org/officeDocument/2006/relationships/hyperlink" Target="mailto:Gopal@mail.com" TargetMode="External"/><Relationship Id="rId7" Type="http://schemas.openxmlformats.org/officeDocument/2006/relationships/hyperlink" Target="mailto:Kesahv@mail.com" TargetMode="External"/><Relationship Id="rId12" Type="http://schemas.openxmlformats.org/officeDocument/2006/relationships/hyperlink" Target="mailto:Vishakha@mail.com" TargetMode="External"/><Relationship Id="rId2" Type="http://schemas.openxmlformats.org/officeDocument/2006/relationships/hyperlink" Target="mailto:Champa@mail.com" TargetMode="External"/><Relationship Id="rId16" Type="http://schemas.microsoft.com/office/2007/relationships/slicer" Target="../slicers/slicer1.xml"/><Relationship Id="rId1" Type="http://schemas.openxmlformats.org/officeDocument/2006/relationships/hyperlink" Target="mailto:Abhimanya@mail.com" TargetMode="External"/><Relationship Id="rId6" Type="http://schemas.openxmlformats.org/officeDocument/2006/relationships/hyperlink" Target="mailto:Indu@mail.com" TargetMode="External"/><Relationship Id="rId11" Type="http://schemas.openxmlformats.org/officeDocument/2006/relationships/hyperlink" Target="mailto:Sudevi@mail.com" TargetMode="External"/><Relationship Id="rId5" Type="http://schemas.openxmlformats.org/officeDocument/2006/relationships/hyperlink" Target="mailto:Hari@mail.com" TargetMode="External"/><Relationship Id="rId15" Type="http://schemas.openxmlformats.org/officeDocument/2006/relationships/table" Target="../tables/table3.xml"/><Relationship Id="rId10" Type="http://schemas.openxmlformats.org/officeDocument/2006/relationships/hyperlink" Target="mailto:RNM@mail.com" TargetMode="External"/><Relationship Id="rId4" Type="http://schemas.openxmlformats.org/officeDocument/2006/relationships/hyperlink" Target="mailto:Gopi@mail.com" TargetMode="External"/><Relationship Id="rId9" Type="http://schemas.openxmlformats.org/officeDocument/2006/relationships/hyperlink" Target="mailto:Madhav@mail.com" TargetMode="External"/><Relationship Id="rId1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hyperlink" Target="mailto:Lalita@mail.com" TargetMode="External"/><Relationship Id="rId13" Type="http://schemas.openxmlformats.org/officeDocument/2006/relationships/hyperlink" Target="mailto:Vrinda@mail.com" TargetMode="External"/><Relationship Id="rId3" Type="http://schemas.openxmlformats.org/officeDocument/2006/relationships/hyperlink" Target="mailto:Gopal@mail.com" TargetMode="External"/><Relationship Id="rId7" Type="http://schemas.openxmlformats.org/officeDocument/2006/relationships/hyperlink" Target="mailto:Kesahv@mail.com" TargetMode="External"/><Relationship Id="rId12" Type="http://schemas.openxmlformats.org/officeDocument/2006/relationships/hyperlink" Target="mailto:Vishakha@mail.com" TargetMode="External"/><Relationship Id="rId2" Type="http://schemas.openxmlformats.org/officeDocument/2006/relationships/hyperlink" Target="mailto:Champa@mail.com" TargetMode="External"/><Relationship Id="rId1" Type="http://schemas.openxmlformats.org/officeDocument/2006/relationships/hyperlink" Target="mailto:Abhimanya@mail.com" TargetMode="External"/><Relationship Id="rId6" Type="http://schemas.openxmlformats.org/officeDocument/2006/relationships/hyperlink" Target="mailto:Indu@mail.com" TargetMode="External"/><Relationship Id="rId11" Type="http://schemas.openxmlformats.org/officeDocument/2006/relationships/hyperlink" Target="mailto:Sudevi@mail.com" TargetMode="External"/><Relationship Id="rId5" Type="http://schemas.openxmlformats.org/officeDocument/2006/relationships/hyperlink" Target="mailto:Hari@mail.com" TargetMode="External"/><Relationship Id="rId15" Type="http://schemas.openxmlformats.org/officeDocument/2006/relationships/table" Target="../tables/table4.xml"/><Relationship Id="rId10" Type="http://schemas.openxmlformats.org/officeDocument/2006/relationships/hyperlink" Target="mailto:RNM@mail.com" TargetMode="External"/><Relationship Id="rId4" Type="http://schemas.openxmlformats.org/officeDocument/2006/relationships/hyperlink" Target="mailto:Gopi@mail.com" TargetMode="External"/><Relationship Id="rId9" Type="http://schemas.openxmlformats.org/officeDocument/2006/relationships/hyperlink" Target="mailto:Madhav@mail.com" TargetMode="External"/><Relationship Id="rId1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0"/>
  <sheetViews>
    <sheetView topLeftCell="A36" zoomScale="115" workbookViewId="0">
      <selection activeCell="K10" sqref="K10"/>
    </sheetView>
  </sheetViews>
  <sheetFormatPr defaultRowHeight="14.5" x14ac:dyDescent="0.35"/>
  <cols>
    <col min="1" max="1" width="4.90625" style="1" bestFit="1" customWidth="1"/>
    <col min="2" max="2" width="9.7265625" customWidth="1"/>
    <col min="3" max="3" width="9.6328125" customWidth="1"/>
    <col min="4" max="4" width="17" style="1" bestFit="1" customWidth="1"/>
    <col min="5" max="5" width="11.6328125" bestFit="1" customWidth="1"/>
    <col min="9" max="9" width="9.54296875" customWidth="1"/>
    <col min="10" max="10" width="13" customWidth="1"/>
    <col min="14" max="14" width="9.90625" customWidth="1"/>
  </cols>
  <sheetData>
    <row r="1" spans="1:14" x14ac:dyDescent="0.35">
      <c r="A1" s="37" t="s">
        <v>21</v>
      </c>
      <c r="B1" s="37"/>
      <c r="C1" s="37"/>
      <c r="D1" s="37"/>
      <c r="E1" s="37"/>
      <c r="F1" s="37"/>
      <c r="G1" s="37"/>
      <c r="H1" s="37"/>
      <c r="I1" s="37"/>
      <c r="J1" s="37"/>
      <c r="L1" s="36" t="s">
        <v>27</v>
      </c>
      <c r="M1" s="36"/>
      <c r="N1" s="36"/>
    </row>
    <row r="2" spans="1:14" x14ac:dyDescent="0.35">
      <c r="A2" s="38"/>
      <c r="B2" s="38"/>
      <c r="C2" s="38"/>
      <c r="D2" s="38"/>
      <c r="E2" s="38"/>
      <c r="F2" s="38"/>
      <c r="G2" s="38"/>
      <c r="H2" s="38"/>
      <c r="I2" s="38"/>
      <c r="J2" s="38"/>
      <c r="L2" s="36" t="s">
        <v>28</v>
      </c>
      <c r="M2" s="36"/>
      <c r="N2" s="36"/>
    </row>
    <row r="3" spans="1:14" x14ac:dyDescent="0.35">
      <c r="A3" s="2" t="s">
        <v>0</v>
      </c>
      <c r="B3" s="3" t="s">
        <v>1</v>
      </c>
      <c r="C3" s="3" t="s">
        <v>2</v>
      </c>
      <c r="D3" s="2" t="s">
        <v>3</v>
      </c>
      <c r="E3" s="2" t="s">
        <v>4</v>
      </c>
      <c r="F3" s="2" t="s">
        <v>5</v>
      </c>
      <c r="G3" s="2" t="s">
        <v>6</v>
      </c>
      <c r="H3" s="3" t="s">
        <v>7</v>
      </c>
      <c r="I3" s="3" t="s">
        <v>8</v>
      </c>
      <c r="J3" s="3" t="s">
        <v>9</v>
      </c>
      <c r="L3" s="36" t="s">
        <v>29</v>
      </c>
      <c r="M3" s="36"/>
      <c r="N3" s="36"/>
    </row>
    <row r="4" spans="1:14" x14ac:dyDescent="0.35">
      <c r="A4" s="4">
        <v>1</v>
      </c>
      <c r="B4" s="5" t="s">
        <v>10</v>
      </c>
      <c r="C4" s="5" t="s">
        <v>11</v>
      </c>
      <c r="D4" s="6">
        <v>42030</v>
      </c>
      <c r="E4" s="4">
        <v>1500</v>
      </c>
      <c r="F4" s="4">
        <v>1200</v>
      </c>
      <c r="G4" s="4">
        <v>1500</v>
      </c>
      <c r="H4" s="4">
        <f>SUM(E4,F4,G4)</f>
        <v>4200</v>
      </c>
      <c r="I4" s="4">
        <f>AVERAGE(E4:G4)</f>
        <v>1400</v>
      </c>
      <c r="J4" s="5" t="s">
        <v>20</v>
      </c>
      <c r="L4" s="36" t="s">
        <v>120</v>
      </c>
      <c r="M4" s="36"/>
      <c r="N4" s="36"/>
    </row>
    <row r="5" spans="1:14" x14ac:dyDescent="0.35">
      <c r="A5" s="4">
        <v>2</v>
      </c>
      <c r="B5" s="5" t="s">
        <v>12</v>
      </c>
      <c r="C5" s="5" t="s">
        <v>13</v>
      </c>
      <c r="D5" s="6">
        <v>42954</v>
      </c>
      <c r="E5" s="4">
        <v>1700</v>
      </c>
      <c r="F5" s="4">
        <v>1800</v>
      </c>
      <c r="G5" s="4">
        <v>2000</v>
      </c>
      <c r="H5" s="4">
        <f>SUM(E5,F5,G5)</f>
        <v>5500</v>
      </c>
      <c r="I5" s="7">
        <f>AVERAGE(E5:G5)</f>
        <v>1833.3333333333333</v>
      </c>
      <c r="J5" s="5" t="str">
        <f>CONCATENATE(B5,C5)</f>
        <v>GOPAL VERMA</v>
      </c>
    </row>
    <row r="6" spans="1:14" x14ac:dyDescent="0.35">
      <c r="A6" s="4">
        <v>3</v>
      </c>
      <c r="B6" s="5" t="s">
        <v>14</v>
      </c>
      <c r="C6" s="5" t="s">
        <v>15</v>
      </c>
      <c r="D6" s="6">
        <v>40976</v>
      </c>
      <c r="E6" s="4">
        <v>1800</v>
      </c>
      <c r="F6" s="4">
        <v>1500</v>
      </c>
      <c r="G6" s="4">
        <v>1900</v>
      </c>
      <c r="H6" s="4">
        <f>SUM(E6,F6,G6)</f>
        <v>5200</v>
      </c>
      <c r="I6" s="7">
        <f>AVERAGE(E6:G6)</f>
        <v>1733.3333333333333</v>
      </c>
      <c r="J6" s="5" t="str">
        <f>CONCATENATE(B6,C6)</f>
        <v>JOSEPHPAUL</v>
      </c>
    </row>
    <row r="7" spans="1:14" x14ac:dyDescent="0.35">
      <c r="A7" s="4">
        <v>4</v>
      </c>
      <c r="B7" s="5" t="s">
        <v>16</v>
      </c>
      <c r="C7" s="5" t="s">
        <v>17</v>
      </c>
      <c r="D7" s="6">
        <v>43402</v>
      </c>
      <c r="E7" s="4">
        <v>1200</v>
      </c>
      <c r="F7" s="4">
        <v>1500</v>
      </c>
      <c r="G7" s="4">
        <v>1800</v>
      </c>
      <c r="H7" s="4">
        <f>SUM(E7,F7,G7)</f>
        <v>4500</v>
      </c>
      <c r="I7" s="4">
        <f>AVERAGE(E7:G7)</f>
        <v>1500</v>
      </c>
      <c r="J7" s="5" t="str">
        <f>CONCATENATE(B7,C7)</f>
        <v>HARI SINGH</v>
      </c>
    </row>
    <row r="8" spans="1:14" x14ac:dyDescent="0.35">
      <c r="A8" s="4">
        <v>5</v>
      </c>
      <c r="B8" s="5" t="s">
        <v>18</v>
      </c>
      <c r="C8" s="5" t="s">
        <v>19</v>
      </c>
      <c r="D8" s="6">
        <v>44077</v>
      </c>
      <c r="E8" s="4">
        <v>2000</v>
      </c>
      <c r="F8" s="4">
        <v>2500</v>
      </c>
      <c r="G8" s="4">
        <v>2900</v>
      </c>
      <c r="H8" s="4">
        <f>SUM(E8,F8,G8)</f>
        <v>7400</v>
      </c>
      <c r="I8" s="7">
        <f>AVERAGE(E8:G8)</f>
        <v>2466.6666666666665</v>
      </c>
      <c r="J8" s="5" t="str">
        <f>CONCATENATE(B8,C8)</f>
        <v>RAJARAM</v>
      </c>
    </row>
    <row r="10" spans="1:14" x14ac:dyDescent="0.35">
      <c r="B10" t="s">
        <v>22</v>
      </c>
      <c r="D10" s="8"/>
    </row>
    <row r="11" spans="1:14" x14ac:dyDescent="0.35">
      <c r="G11" s="35" t="s">
        <v>67</v>
      </c>
      <c r="H11" s="35"/>
      <c r="I11" s="35"/>
      <c r="J11" s="35"/>
    </row>
    <row r="12" spans="1:14" x14ac:dyDescent="0.35">
      <c r="B12" s="11" t="s">
        <v>23</v>
      </c>
      <c r="C12" s="11" t="s">
        <v>24</v>
      </c>
      <c r="D12" s="12" t="s">
        <v>25</v>
      </c>
      <c r="E12" s="11" t="s">
        <v>26</v>
      </c>
      <c r="G12" s="13" t="s">
        <v>30</v>
      </c>
      <c r="H12" t="s">
        <v>42</v>
      </c>
      <c r="I12" t="s">
        <v>49</v>
      </c>
      <c r="J12" t="s">
        <v>60</v>
      </c>
    </row>
    <row r="13" spans="1:14" x14ac:dyDescent="0.35">
      <c r="A13" s="10"/>
      <c r="B13" s="8">
        <v>1.0333000000000001</v>
      </c>
      <c r="C13" s="8">
        <f>ROUND(B13,0)</f>
        <v>1</v>
      </c>
      <c r="D13" s="8">
        <f>ROUNDUP(B13,0)</f>
        <v>2</v>
      </c>
      <c r="E13" s="8">
        <f>ROUNDDOWN(B13,0)</f>
        <v>1</v>
      </c>
      <c r="G13" s="13" t="s">
        <v>31</v>
      </c>
      <c r="H13" t="s">
        <v>43</v>
      </c>
      <c r="I13" t="s">
        <v>50</v>
      </c>
      <c r="J13" t="s">
        <v>61</v>
      </c>
    </row>
    <row r="14" spans="1:14" x14ac:dyDescent="0.35">
      <c r="B14" s="8">
        <v>2.0554999999999999</v>
      </c>
      <c r="C14" s="8">
        <f t="shared" ref="C14:C17" si="0">ROUND(B14,0)</f>
        <v>2</v>
      </c>
      <c r="D14" s="8">
        <f t="shared" ref="D14:D17" si="1">ROUNDUP(B14,0)</f>
        <v>3</v>
      </c>
      <c r="E14" s="8">
        <f t="shared" ref="E14:E17" si="2">ROUNDDOWN(B14,0)</f>
        <v>2</v>
      </c>
      <c r="G14" s="13" t="s">
        <v>32</v>
      </c>
      <c r="H14" t="s">
        <v>44</v>
      </c>
      <c r="I14" t="s">
        <v>51</v>
      </c>
      <c r="J14" t="s">
        <v>62</v>
      </c>
    </row>
    <row r="15" spans="1:14" x14ac:dyDescent="0.35">
      <c r="B15" s="8">
        <v>2.9999899999999999</v>
      </c>
      <c r="C15" s="8">
        <f t="shared" si="0"/>
        <v>3</v>
      </c>
      <c r="D15" s="8">
        <f t="shared" si="1"/>
        <v>3</v>
      </c>
      <c r="E15" s="8">
        <f t="shared" si="2"/>
        <v>2</v>
      </c>
      <c r="G15" s="13" t="s">
        <v>33</v>
      </c>
      <c r="H15" t="s">
        <v>45</v>
      </c>
      <c r="I15" t="s">
        <v>52</v>
      </c>
      <c r="J15" t="s">
        <v>63</v>
      </c>
    </row>
    <row r="16" spans="1:14" x14ac:dyDescent="0.35">
      <c r="B16" s="8">
        <v>8.9565000000000001</v>
      </c>
      <c r="C16" s="8">
        <f t="shared" si="0"/>
        <v>9</v>
      </c>
      <c r="D16" s="8">
        <f t="shared" si="1"/>
        <v>9</v>
      </c>
      <c r="E16" s="8">
        <f t="shared" si="2"/>
        <v>8</v>
      </c>
      <c r="G16" s="13" t="s">
        <v>34</v>
      </c>
      <c r="H16" t="s">
        <v>46</v>
      </c>
      <c r="I16" t="s">
        <v>34</v>
      </c>
      <c r="J16" t="s">
        <v>64</v>
      </c>
    </row>
    <row r="17" spans="1:10" x14ac:dyDescent="0.35">
      <c r="B17" s="8">
        <v>1.333</v>
      </c>
      <c r="C17" s="8">
        <f t="shared" si="0"/>
        <v>1</v>
      </c>
      <c r="D17" s="8">
        <f t="shared" si="1"/>
        <v>2</v>
      </c>
      <c r="E17" s="8">
        <f t="shared" si="2"/>
        <v>1</v>
      </c>
      <c r="G17" s="13" t="s">
        <v>35</v>
      </c>
      <c r="H17" t="s">
        <v>47</v>
      </c>
      <c r="I17" t="s">
        <v>53</v>
      </c>
      <c r="J17" t="s">
        <v>65</v>
      </c>
    </row>
    <row r="18" spans="1:10" x14ac:dyDescent="0.35">
      <c r="G18" s="13" t="s">
        <v>36</v>
      </c>
      <c r="H18" t="s">
        <v>48</v>
      </c>
      <c r="I18" t="s">
        <v>54</v>
      </c>
      <c r="J18" t="s">
        <v>66</v>
      </c>
    </row>
    <row r="19" spans="1:10" x14ac:dyDescent="0.35">
      <c r="G19" s="13" t="s">
        <v>37</v>
      </c>
      <c r="I19" t="s">
        <v>55</v>
      </c>
    </row>
    <row r="20" spans="1:10" x14ac:dyDescent="0.35">
      <c r="G20" s="13" t="s">
        <v>38</v>
      </c>
      <c r="I20" t="s">
        <v>56</v>
      </c>
    </row>
    <row r="21" spans="1:10" x14ac:dyDescent="0.35">
      <c r="G21" s="13" t="s">
        <v>39</v>
      </c>
      <c r="I21" t="s">
        <v>57</v>
      </c>
    </row>
    <row r="22" spans="1:10" x14ac:dyDescent="0.35">
      <c r="G22" s="13" t="s">
        <v>40</v>
      </c>
      <c r="I22" t="s">
        <v>58</v>
      </c>
    </row>
    <row r="23" spans="1:10" x14ac:dyDescent="0.35">
      <c r="G23" s="13" t="s">
        <v>41</v>
      </c>
      <c r="I23" t="s">
        <v>59</v>
      </c>
    </row>
    <row r="25" spans="1:10" x14ac:dyDescent="0.35">
      <c r="A25" s="35" t="s">
        <v>111</v>
      </c>
      <c r="B25" s="35"/>
      <c r="C25" s="35"/>
      <c r="D25" s="35"/>
      <c r="E25" s="35"/>
    </row>
    <row r="26" spans="1:10" x14ac:dyDescent="0.35">
      <c r="A26" s="9"/>
      <c r="B26" t="s">
        <v>116</v>
      </c>
      <c r="D26" s="14" t="s">
        <v>69</v>
      </c>
      <c r="E26" s="11" t="s">
        <v>112</v>
      </c>
    </row>
    <row r="27" spans="1:10" x14ac:dyDescent="0.35">
      <c r="B27" t="s">
        <v>112</v>
      </c>
      <c r="D27" s="1" t="s">
        <v>79</v>
      </c>
      <c r="E27" t="s">
        <v>113</v>
      </c>
    </row>
    <row r="28" spans="1:10" x14ac:dyDescent="0.35">
      <c r="B28" t="s">
        <v>113</v>
      </c>
      <c r="D28" s="1" t="s">
        <v>87</v>
      </c>
      <c r="E28" t="s">
        <v>113</v>
      </c>
    </row>
    <row r="29" spans="1:10" x14ac:dyDescent="0.35">
      <c r="B29" t="s">
        <v>114</v>
      </c>
      <c r="D29" s="1" t="s">
        <v>90</v>
      </c>
      <c r="E29" t="s">
        <v>113</v>
      </c>
    </row>
    <row r="30" spans="1:10" x14ac:dyDescent="0.35">
      <c r="B30" t="s">
        <v>115</v>
      </c>
      <c r="D30" s="1" t="s">
        <v>84</v>
      </c>
      <c r="E30" t="s">
        <v>113</v>
      </c>
    </row>
    <row r="31" spans="1:10" x14ac:dyDescent="0.35">
      <c r="D31" s="1" t="s">
        <v>81</v>
      </c>
      <c r="E31" t="s">
        <v>114</v>
      </c>
    </row>
    <row r="34" spans="4:10" x14ac:dyDescent="0.35">
      <c r="D34" s="35" t="s">
        <v>119</v>
      </c>
      <c r="E34" s="35"/>
      <c r="F34" s="35"/>
      <c r="G34" s="35"/>
      <c r="H34" s="35"/>
      <c r="I34" s="35"/>
      <c r="J34" s="35"/>
    </row>
    <row r="36" spans="4:10" ht="15.5" x14ac:dyDescent="0.35">
      <c r="D36" s="31" t="s">
        <v>69</v>
      </c>
      <c r="E36" s="25" t="s">
        <v>76</v>
      </c>
    </row>
    <row r="37" spans="4:10" x14ac:dyDescent="0.35">
      <c r="D37" s="26" t="s">
        <v>78</v>
      </c>
      <c r="E37" s="23">
        <v>99</v>
      </c>
    </row>
    <row r="38" spans="4:10" x14ac:dyDescent="0.35">
      <c r="D38" s="27" t="s">
        <v>79</v>
      </c>
      <c r="E38" s="24">
        <v>91</v>
      </c>
    </row>
    <row r="39" spans="4:10" x14ac:dyDescent="0.35">
      <c r="D39" s="26" t="s">
        <v>80</v>
      </c>
      <c r="E39" s="23">
        <v>88</v>
      </c>
    </row>
    <row r="40" spans="4:10" x14ac:dyDescent="0.35">
      <c r="D40" s="27" t="s">
        <v>81</v>
      </c>
      <c r="E40" s="24">
        <v>79</v>
      </c>
    </row>
    <row r="41" spans="4:10" x14ac:dyDescent="0.35">
      <c r="D41" s="26" t="s">
        <v>82</v>
      </c>
      <c r="E41" s="23">
        <v>96</v>
      </c>
    </row>
    <row r="42" spans="4:10" x14ac:dyDescent="0.35">
      <c r="D42" s="27" t="s">
        <v>83</v>
      </c>
      <c r="E42" s="24">
        <v>80</v>
      </c>
    </row>
    <row r="43" spans="4:10" x14ac:dyDescent="0.35">
      <c r="D43" s="26" t="s">
        <v>84</v>
      </c>
      <c r="E43" s="23">
        <v>89</v>
      </c>
    </row>
    <row r="44" spans="4:10" x14ac:dyDescent="0.35">
      <c r="D44" s="27" t="s">
        <v>85</v>
      </c>
      <c r="E44" s="24">
        <v>96</v>
      </c>
    </row>
    <row r="45" spans="4:10" x14ac:dyDescent="0.35">
      <c r="D45" s="26" t="s">
        <v>86</v>
      </c>
      <c r="E45" s="23">
        <v>92</v>
      </c>
    </row>
    <row r="46" spans="4:10" x14ac:dyDescent="0.35">
      <c r="D46" s="27" t="s">
        <v>87</v>
      </c>
      <c r="E46" s="24">
        <v>89</v>
      </c>
    </row>
    <row r="47" spans="4:10" x14ac:dyDescent="0.35">
      <c r="D47" s="26" t="s">
        <v>10</v>
      </c>
      <c r="E47" s="23">
        <v>77</v>
      </c>
    </row>
    <row r="48" spans="4:10" x14ac:dyDescent="0.35">
      <c r="D48" s="27" t="s">
        <v>88</v>
      </c>
      <c r="E48" s="24">
        <v>87</v>
      </c>
    </row>
    <row r="49" spans="4:5" x14ac:dyDescent="0.35">
      <c r="D49" s="26" t="s">
        <v>89</v>
      </c>
      <c r="E49" s="23">
        <v>85</v>
      </c>
    </row>
    <row r="50" spans="4:5" x14ac:dyDescent="0.35">
      <c r="D50" s="27" t="s">
        <v>90</v>
      </c>
      <c r="E50" s="24">
        <v>98</v>
      </c>
    </row>
  </sheetData>
  <mergeCells count="8">
    <mergeCell ref="A25:E25"/>
    <mergeCell ref="D34:J34"/>
    <mergeCell ref="L4:N4"/>
    <mergeCell ref="A1:J2"/>
    <mergeCell ref="L1:N1"/>
    <mergeCell ref="L2:N2"/>
    <mergeCell ref="L3:N3"/>
    <mergeCell ref="G11:J11"/>
  </mergeCells>
  <conditionalFormatting sqref="H3:H8">
    <cfRule type="colorScale" priority="1">
      <colorScale>
        <cfvo type="min"/>
        <cfvo type="percentile" val="50"/>
        <cfvo type="max"/>
        <color rgb="FFF8696B"/>
        <color rgb="FFFFEB84"/>
        <color rgb="FF63BE7B"/>
      </colorScale>
    </cfRule>
  </conditionalFormatting>
  <dataValidations count="1">
    <dataValidation type="list" allowBlank="1" showInputMessage="1" showErrorMessage="1" sqref="E27:E31">
      <formula1>$B$27:$B$30</formula1>
    </dataValidation>
  </dataValidations>
  <hyperlinks>
    <hyperlink ref="D36" location="Names!A1" display="Name"/>
  </hyperlinks>
  <pageMargins left="0.31496062992125984" right="0.19685039370078741" top="0.19685039370078741" bottom="0.74803149606299213" header="0.31496062992125984" footer="0.31496062992125984"/>
  <pageSetup orientation="portrait" r:id="rId1"/>
  <drawing r:id="rId2"/>
  <tableParts count="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
  <sheetViews>
    <sheetView workbookViewId="0">
      <selection activeCell="E18" sqref="E18"/>
    </sheetView>
  </sheetViews>
  <sheetFormatPr defaultRowHeight="14.5" x14ac:dyDescent="0.35"/>
  <cols>
    <col min="1" max="1" width="11.1796875" customWidth="1"/>
    <col min="2" max="2" width="10.453125" customWidth="1"/>
    <col min="5" max="5" width="9.36328125" customWidth="1"/>
    <col min="6" max="6" width="13.36328125" customWidth="1"/>
    <col min="7" max="7" width="13.26953125" customWidth="1"/>
    <col min="8" max="8" width="12.36328125" customWidth="1"/>
    <col min="9" max="9" width="20.453125" customWidth="1"/>
  </cols>
  <sheetData>
    <row r="1" spans="1:9" ht="21" x14ac:dyDescent="0.5">
      <c r="A1" s="39" t="s">
        <v>68</v>
      </c>
      <c r="B1" s="40"/>
      <c r="C1" s="40"/>
      <c r="D1" s="40"/>
      <c r="E1" s="40"/>
      <c r="F1" s="40"/>
      <c r="G1" s="40"/>
      <c r="H1" s="40"/>
      <c r="I1" s="40"/>
    </row>
    <row r="3" spans="1:9" ht="15.5" x14ac:dyDescent="0.35">
      <c r="A3" s="28" t="s">
        <v>69</v>
      </c>
      <c r="B3" s="18" t="s">
        <v>70</v>
      </c>
      <c r="C3" s="18" t="s">
        <v>71</v>
      </c>
      <c r="D3" s="18" t="s">
        <v>72</v>
      </c>
      <c r="E3" s="18" t="s">
        <v>73</v>
      </c>
      <c r="F3" s="18" t="s">
        <v>74</v>
      </c>
      <c r="G3" s="18" t="s">
        <v>75</v>
      </c>
      <c r="H3" s="18" t="s">
        <v>76</v>
      </c>
      <c r="I3" s="19" t="s">
        <v>77</v>
      </c>
    </row>
    <row r="4" spans="1:9" x14ac:dyDescent="0.35">
      <c r="A4" s="15" t="s">
        <v>78</v>
      </c>
      <c r="B4" s="4" t="s">
        <v>91</v>
      </c>
      <c r="C4" s="4">
        <v>16</v>
      </c>
      <c r="D4" s="4">
        <v>10</v>
      </c>
      <c r="E4" s="4" t="s">
        <v>93</v>
      </c>
      <c r="F4" s="4">
        <v>84</v>
      </c>
      <c r="G4" s="4">
        <v>79</v>
      </c>
      <c r="H4" s="4">
        <v>99</v>
      </c>
      <c r="I4" s="16" t="s">
        <v>103</v>
      </c>
    </row>
    <row r="5" spans="1:9" x14ac:dyDescent="0.35">
      <c r="A5" s="15" t="s">
        <v>79</v>
      </c>
      <c r="B5" s="4" t="s">
        <v>91</v>
      </c>
      <c r="C5" s="4">
        <v>11</v>
      </c>
      <c r="D5" s="4">
        <v>5</v>
      </c>
      <c r="E5" s="4" t="s">
        <v>94</v>
      </c>
      <c r="F5" s="4">
        <v>82</v>
      </c>
      <c r="G5" s="4">
        <v>83</v>
      </c>
      <c r="H5" s="4">
        <v>91</v>
      </c>
      <c r="I5" s="17" t="s">
        <v>97</v>
      </c>
    </row>
    <row r="6" spans="1:9" x14ac:dyDescent="0.35">
      <c r="A6" s="15" t="s">
        <v>80</v>
      </c>
      <c r="B6" s="4" t="s">
        <v>92</v>
      </c>
      <c r="C6" s="4">
        <v>15</v>
      </c>
      <c r="D6" s="4">
        <v>8</v>
      </c>
      <c r="E6" s="4" t="s">
        <v>95</v>
      </c>
      <c r="F6" s="4">
        <v>81</v>
      </c>
      <c r="G6" s="4">
        <v>78</v>
      </c>
      <c r="H6" s="4">
        <v>88</v>
      </c>
      <c r="I6" s="16" t="s">
        <v>104</v>
      </c>
    </row>
    <row r="7" spans="1:9" x14ac:dyDescent="0.35">
      <c r="A7" s="15" t="s">
        <v>81</v>
      </c>
      <c r="B7" s="4" t="s">
        <v>91</v>
      </c>
      <c r="C7" s="4">
        <v>14</v>
      </c>
      <c r="D7" s="4">
        <v>8</v>
      </c>
      <c r="E7" s="4" t="s">
        <v>93</v>
      </c>
      <c r="F7" s="4">
        <v>70</v>
      </c>
      <c r="G7" s="4">
        <v>75</v>
      </c>
      <c r="H7" s="4">
        <v>79</v>
      </c>
      <c r="I7" s="16" t="s">
        <v>98</v>
      </c>
    </row>
    <row r="8" spans="1:9" x14ac:dyDescent="0.35">
      <c r="A8" s="15" t="s">
        <v>82</v>
      </c>
      <c r="B8" s="4" t="s">
        <v>92</v>
      </c>
      <c r="C8" s="4">
        <v>16</v>
      </c>
      <c r="D8" s="4">
        <v>10</v>
      </c>
      <c r="E8" s="4" t="s">
        <v>96</v>
      </c>
      <c r="F8" s="4">
        <v>88</v>
      </c>
      <c r="G8" s="4">
        <v>92</v>
      </c>
      <c r="H8" s="4">
        <v>96</v>
      </c>
      <c r="I8" s="16" t="s">
        <v>105</v>
      </c>
    </row>
    <row r="9" spans="1:9" x14ac:dyDescent="0.35">
      <c r="A9" s="15" t="s">
        <v>83</v>
      </c>
      <c r="B9" s="4" t="s">
        <v>91</v>
      </c>
      <c r="C9" s="4">
        <v>16</v>
      </c>
      <c r="D9" s="4">
        <v>10</v>
      </c>
      <c r="E9" s="4" t="s">
        <v>93</v>
      </c>
      <c r="F9" s="4">
        <v>82</v>
      </c>
      <c r="G9" s="4">
        <v>81</v>
      </c>
      <c r="H9" s="4">
        <v>80</v>
      </c>
      <c r="I9" s="16" t="s">
        <v>99</v>
      </c>
    </row>
    <row r="10" spans="1:9" x14ac:dyDescent="0.35">
      <c r="A10" s="15" t="s">
        <v>84</v>
      </c>
      <c r="B10" s="4" t="s">
        <v>92</v>
      </c>
      <c r="C10" s="4">
        <v>14</v>
      </c>
      <c r="D10" s="4">
        <v>8</v>
      </c>
      <c r="E10" s="4" t="s">
        <v>94</v>
      </c>
      <c r="F10" s="4">
        <v>90</v>
      </c>
      <c r="G10" s="4">
        <v>86</v>
      </c>
      <c r="H10" s="4">
        <v>89</v>
      </c>
      <c r="I10" s="16" t="s">
        <v>106</v>
      </c>
    </row>
    <row r="11" spans="1:9" x14ac:dyDescent="0.35">
      <c r="A11" s="15" t="s">
        <v>85</v>
      </c>
      <c r="B11" s="4" t="s">
        <v>91</v>
      </c>
      <c r="C11" s="4">
        <v>15</v>
      </c>
      <c r="D11" s="4">
        <v>9</v>
      </c>
      <c r="E11" s="4" t="s">
        <v>96</v>
      </c>
      <c r="F11" s="4">
        <v>87</v>
      </c>
      <c r="G11" s="4">
        <v>89</v>
      </c>
      <c r="H11" s="4">
        <v>96</v>
      </c>
      <c r="I11" s="16" t="s">
        <v>100</v>
      </c>
    </row>
    <row r="12" spans="1:9" x14ac:dyDescent="0.35">
      <c r="A12" s="15" t="s">
        <v>86</v>
      </c>
      <c r="B12" s="4" t="s">
        <v>92</v>
      </c>
      <c r="C12" s="4">
        <v>17</v>
      </c>
      <c r="D12" s="4">
        <v>10</v>
      </c>
      <c r="E12" s="4" t="s">
        <v>94</v>
      </c>
      <c r="F12" s="4">
        <v>70</v>
      </c>
      <c r="G12" s="4">
        <v>90</v>
      </c>
      <c r="H12" s="4">
        <v>92</v>
      </c>
      <c r="I12" s="16" t="s">
        <v>107</v>
      </c>
    </row>
    <row r="13" spans="1:9" x14ac:dyDescent="0.35">
      <c r="A13" s="15" t="s">
        <v>87</v>
      </c>
      <c r="B13" s="4" t="s">
        <v>91</v>
      </c>
      <c r="C13" s="4">
        <v>12</v>
      </c>
      <c r="D13" s="4">
        <v>7</v>
      </c>
      <c r="E13" s="4" t="s">
        <v>95</v>
      </c>
      <c r="F13" s="4">
        <v>86</v>
      </c>
      <c r="G13" s="4">
        <v>92</v>
      </c>
      <c r="H13" s="4">
        <v>89</v>
      </c>
      <c r="I13" s="16" t="s">
        <v>101</v>
      </c>
    </row>
    <row r="14" spans="1:9" x14ac:dyDescent="0.35">
      <c r="A14" s="15" t="s">
        <v>10</v>
      </c>
      <c r="B14" s="4" t="s">
        <v>91</v>
      </c>
      <c r="C14" s="4">
        <v>16</v>
      </c>
      <c r="D14" s="4">
        <v>10</v>
      </c>
      <c r="E14" s="4" t="s">
        <v>96</v>
      </c>
      <c r="F14" s="4">
        <v>86</v>
      </c>
      <c r="G14" s="4">
        <v>81</v>
      </c>
      <c r="H14" s="4">
        <v>77</v>
      </c>
      <c r="I14" s="16" t="s">
        <v>102</v>
      </c>
    </row>
    <row r="15" spans="1:9" x14ac:dyDescent="0.35">
      <c r="A15" s="15" t="s">
        <v>88</v>
      </c>
      <c r="B15" s="4" t="s">
        <v>92</v>
      </c>
      <c r="C15" s="4">
        <v>16</v>
      </c>
      <c r="D15" s="4">
        <v>10</v>
      </c>
      <c r="E15" s="4" t="s">
        <v>95</v>
      </c>
      <c r="F15" s="4">
        <v>81</v>
      </c>
      <c r="G15" s="4">
        <v>80</v>
      </c>
      <c r="H15" s="4">
        <v>87</v>
      </c>
      <c r="I15" s="16" t="s">
        <v>108</v>
      </c>
    </row>
    <row r="16" spans="1:9" x14ac:dyDescent="0.35">
      <c r="A16" s="15" t="s">
        <v>89</v>
      </c>
      <c r="B16" s="4" t="s">
        <v>92</v>
      </c>
      <c r="C16" s="4">
        <v>16</v>
      </c>
      <c r="D16" s="4">
        <v>10</v>
      </c>
      <c r="E16" s="4" t="s">
        <v>93</v>
      </c>
      <c r="F16" s="4">
        <v>70</v>
      </c>
      <c r="G16" s="4">
        <v>87</v>
      </c>
      <c r="H16" s="4">
        <v>85</v>
      </c>
      <c r="I16" s="16" t="s">
        <v>109</v>
      </c>
    </row>
    <row r="17" spans="1:9" x14ac:dyDescent="0.35">
      <c r="A17" s="20" t="s">
        <v>90</v>
      </c>
      <c r="B17" s="21" t="s">
        <v>92</v>
      </c>
      <c r="C17" s="21">
        <v>14</v>
      </c>
      <c r="D17" s="21">
        <v>8</v>
      </c>
      <c r="E17" s="21" t="s">
        <v>96</v>
      </c>
      <c r="F17" s="21">
        <v>91</v>
      </c>
      <c r="G17" s="21">
        <v>96</v>
      </c>
      <c r="H17" s="21">
        <v>98</v>
      </c>
      <c r="I17" s="22" t="s">
        <v>110</v>
      </c>
    </row>
  </sheetData>
  <mergeCells count="1">
    <mergeCell ref="A1:I1"/>
  </mergeCells>
  <hyperlinks>
    <hyperlink ref="I4" r:id="rId1"/>
    <hyperlink ref="I6" r:id="rId2"/>
    <hyperlink ref="I7" r:id="rId3"/>
    <hyperlink ref="I8" r:id="rId4"/>
    <hyperlink ref="I9" r:id="rId5"/>
    <hyperlink ref="I10" r:id="rId6"/>
    <hyperlink ref="I11" r:id="rId7"/>
    <hyperlink ref="I12" r:id="rId8"/>
    <hyperlink ref="I13" r:id="rId9"/>
    <hyperlink ref="I14" r:id="rId10"/>
    <hyperlink ref="I15" r:id="rId11"/>
    <hyperlink ref="I16" r:id="rId12"/>
    <hyperlink ref="I17" r:id="rId13"/>
    <hyperlink ref="A3" location="Names!A1" display="Name"/>
  </hyperlinks>
  <pageMargins left="0.7" right="0.7" top="0.75" bottom="0.75" header="0.3" footer="0.3"/>
  <drawing r:id="rId14"/>
  <tableParts count="1">
    <tablePart r:id="rId15"/>
  </tableParts>
  <extLst>
    <ext xmlns:x15="http://schemas.microsoft.com/office/spreadsheetml/2010/11/main" uri="{3A4CF648-6AED-40f4-86FF-DC5316D8AED3}">
      <x14:slicerList xmlns:x14="http://schemas.microsoft.com/office/spreadsheetml/2009/9/main">
        <x14:slicer r:id="rId1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6"/>
  <sheetViews>
    <sheetView topLeftCell="A12" workbookViewId="0">
      <selection activeCell="D22" sqref="D22"/>
    </sheetView>
  </sheetViews>
  <sheetFormatPr defaultRowHeight="14.5" x14ac:dyDescent="0.35"/>
  <cols>
    <col min="1" max="1" width="10.36328125" bestFit="1" customWidth="1"/>
    <col min="5" max="5" width="19.90625" bestFit="1" customWidth="1"/>
    <col min="9" max="9" width="10.36328125" bestFit="1" customWidth="1"/>
    <col min="16" max="16" width="9.453125" bestFit="1" customWidth="1"/>
    <col min="20" max="20" width="10.36328125" bestFit="1" customWidth="1"/>
    <col min="21" max="21" width="10.7265625" customWidth="1"/>
  </cols>
  <sheetData>
    <row r="1" spans="1:21" ht="15.5" x14ac:dyDescent="0.35">
      <c r="A1" s="25" t="s">
        <v>69</v>
      </c>
      <c r="E1" s="25" t="s">
        <v>77</v>
      </c>
    </row>
    <row r="2" spans="1:21" ht="15.5" x14ac:dyDescent="0.35">
      <c r="A2" s="26" t="s">
        <v>78</v>
      </c>
      <c r="E2" s="29" t="s">
        <v>117</v>
      </c>
      <c r="F2" t="s">
        <v>118</v>
      </c>
      <c r="I2" s="31" t="s">
        <v>69</v>
      </c>
      <c r="J2" s="25" t="s">
        <v>70</v>
      </c>
      <c r="K2" s="25" t="s">
        <v>71</v>
      </c>
      <c r="L2" s="25" t="s">
        <v>72</v>
      </c>
      <c r="M2" s="25" t="s">
        <v>73</v>
      </c>
      <c r="N2" s="25" t="s">
        <v>74</v>
      </c>
      <c r="O2" s="25" t="s">
        <v>75</v>
      </c>
      <c r="P2" s="25" t="s">
        <v>76</v>
      </c>
      <c r="T2" s="11" t="s">
        <v>69</v>
      </c>
      <c r="U2" s="11" t="s">
        <v>76</v>
      </c>
    </row>
    <row r="3" spans="1:21" x14ac:dyDescent="0.35">
      <c r="A3" s="27" t="s">
        <v>79</v>
      </c>
      <c r="E3" s="27" t="s">
        <v>79</v>
      </c>
      <c r="F3" t="s">
        <v>118</v>
      </c>
      <c r="I3" s="26" t="s">
        <v>78</v>
      </c>
      <c r="J3" s="23" t="s">
        <v>91</v>
      </c>
      <c r="K3" s="23">
        <v>16</v>
      </c>
      <c r="L3" s="23">
        <v>10</v>
      </c>
      <c r="M3" s="23" t="s">
        <v>93</v>
      </c>
      <c r="N3" s="23">
        <v>84</v>
      </c>
      <c r="O3" s="23">
        <v>79</v>
      </c>
      <c r="P3" s="23">
        <v>99</v>
      </c>
      <c r="T3" t="s">
        <v>90</v>
      </c>
      <c r="U3">
        <f t="shared" ref="U3:U7" si="0">VLOOKUP(I16,$I$2:$P$16,8,TRUE)</f>
        <v>98</v>
      </c>
    </row>
    <row r="4" spans="1:21" x14ac:dyDescent="0.35">
      <c r="A4" s="26" t="s">
        <v>80</v>
      </c>
      <c r="E4" s="29" t="s">
        <v>80</v>
      </c>
      <c r="F4" t="s">
        <v>118</v>
      </c>
      <c r="I4" s="27" t="s">
        <v>79</v>
      </c>
      <c r="J4" s="24" t="s">
        <v>91</v>
      </c>
      <c r="K4" s="24">
        <v>11</v>
      </c>
      <c r="L4" s="24">
        <v>5</v>
      </c>
      <c r="M4" s="24" t="s">
        <v>94</v>
      </c>
      <c r="N4" s="24">
        <v>82</v>
      </c>
      <c r="O4" s="24">
        <v>83</v>
      </c>
      <c r="P4" s="24">
        <v>91</v>
      </c>
      <c r="T4" t="s">
        <v>82</v>
      </c>
      <c r="U4">
        <f>VLOOKUP(I7,$I$2:$P$16,8,0)</f>
        <v>96</v>
      </c>
    </row>
    <row r="5" spans="1:21" x14ac:dyDescent="0.35">
      <c r="A5" s="27" t="s">
        <v>81</v>
      </c>
      <c r="E5" s="30" t="s">
        <v>81</v>
      </c>
      <c r="F5" t="s">
        <v>118</v>
      </c>
      <c r="I5" s="26" t="s">
        <v>80</v>
      </c>
      <c r="J5" s="23" t="s">
        <v>92</v>
      </c>
      <c r="K5" s="23">
        <v>15</v>
      </c>
      <c r="L5" s="23">
        <v>8</v>
      </c>
      <c r="M5" s="23" t="s">
        <v>95</v>
      </c>
      <c r="N5" s="23">
        <v>81</v>
      </c>
      <c r="O5" s="23">
        <v>78</v>
      </c>
      <c r="P5" s="23">
        <v>88</v>
      </c>
      <c r="T5" t="s">
        <v>87</v>
      </c>
      <c r="U5" t="e">
        <f t="shared" si="0"/>
        <v>#N/A</v>
      </c>
    </row>
    <row r="6" spans="1:21" x14ac:dyDescent="0.35">
      <c r="A6" s="26" t="s">
        <v>82</v>
      </c>
      <c r="E6" s="29" t="s">
        <v>82</v>
      </c>
      <c r="F6" t="s">
        <v>118</v>
      </c>
      <c r="I6" s="27" t="s">
        <v>81</v>
      </c>
      <c r="J6" s="24" t="s">
        <v>91</v>
      </c>
      <c r="K6" s="24">
        <v>14</v>
      </c>
      <c r="L6" s="24">
        <v>8</v>
      </c>
      <c r="M6" s="24" t="s">
        <v>93</v>
      </c>
      <c r="N6" s="24">
        <v>70</v>
      </c>
      <c r="O6" s="24">
        <v>75</v>
      </c>
      <c r="P6" s="24">
        <v>79</v>
      </c>
      <c r="T6" t="s">
        <v>83</v>
      </c>
      <c r="U6" t="e">
        <f t="shared" si="0"/>
        <v>#N/A</v>
      </c>
    </row>
    <row r="7" spans="1:21" x14ac:dyDescent="0.35">
      <c r="A7" s="27" t="s">
        <v>83</v>
      </c>
      <c r="E7" s="30" t="s">
        <v>83</v>
      </c>
      <c r="F7" t="s">
        <v>118</v>
      </c>
      <c r="I7" s="26" t="s">
        <v>82</v>
      </c>
      <c r="J7" s="23" t="s">
        <v>92</v>
      </c>
      <c r="K7" s="23">
        <v>16</v>
      </c>
      <c r="L7" s="23">
        <v>10</v>
      </c>
      <c r="M7" s="23" t="s">
        <v>96</v>
      </c>
      <c r="N7" s="23">
        <v>88</v>
      </c>
      <c r="O7" s="23">
        <v>92</v>
      </c>
      <c r="P7" s="23">
        <v>96</v>
      </c>
      <c r="T7" t="s">
        <v>78</v>
      </c>
      <c r="U7" t="e">
        <f t="shared" si="0"/>
        <v>#N/A</v>
      </c>
    </row>
    <row r="8" spans="1:21" x14ac:dyDescent="0.35">
      <c r="A8" s="26" t="s">
        <v>84</v>
      </c>
      <c r="E8" s="29" t="s">
        <v>84</v>
      </c>
      <c r="F8" t="s">
        <v>118</v>
      </c>
      <c r="I8" s="27" t="s">
        <v>83</v>
      </c>
      <c r="J8" s="24" t="s">
        <v>91</v>
      </c>
      <c r="K8" s="24">
        <v>16</v>
      </c>
      <c r="L8" s="24">
        <v>10</v>
      </c>
      <c r="M8" s="24" t="s">
        <v>93</v>
      </c>
      <c r="N8" s="24">
        <v>82</v>
      </c>
      <c r="O8" s="24">
        <v>81</v>
      </c>
      <c r="P8" s="24">
        <v>80</v>
      </c>
    </row>
    <row r="9" spans="1:21" x14ac:dyDescent="0.35">
      <c r="A9" s="27" t="s">
        <v>85</v>
      </c>
      <c r="E9" s="30" t="s">
        <v>85</v>
      </c>
      <c r="F9" t="s">
        <v>118</v>
      </c>
      <c r="I9" s="26" t="s">
        <v>84</v>
      </c>
      <c r="J9" s="23" t="s">
        <v>92</v>
      </c>
      <c r="K9" s="23">
        <v>14</v>
      </c>
      <c r="L9" s="23">
        <v>8</v>
      </c>
      <c r="M9" s="23" t="s">
        <v>94</v>
      </c>
      <c r="N9" s="23">
        <v>90</v>
      </c>
      <c r="O9" s="23">
        <v>86</v>
      </c>
      <c r="P9" s="23">
        <v>89</v>
      </c>
    </row>
    <row r="10" spans="1:21" x14ac:dyDescent="0.35">
      <c r="A10" s="26" t="s">
        <v>86</v>
      </c>
      <c r="E10" s="29" t="s">
        <v>86</v>
      </c>
      <c r="F10" t="s">
        <v>118</v>
      </c>
      <c r="I10" s="27" t="s">
        <v>85</v>
      </c>
      <c r="J10" s="24" t="s">
        <v>91</v>
      </c>
      <c r="K10" s="24">
        <v>15</v>
      </c>
      <c r="L10" s="24">
        <v>9</v>
      </c>
      <c r="M10" s="24" t="s">
        <v>96</v>
      </c>
      <c r="N10" s="24">
        <v>87</v>
      </c>
      <c r="O10" s="24">
        <v>89</v>
      </c>
      <c r="P10" s="24">
        <v>96</v>
      </c>
    </row>
    <row r="11" spans="1:21" x14ac:dyDescent="0.35">
      <c r="A11" s="27" t="s">
        <v>87</v>
      </c>
      <c r="E11" s="30" t="s">
        <v>87</v>
      </c>
      <c r="F11" t="s">
        <v>118</v>
      </c>
      <c r="I11" s="26" t="s">
        <v>86</v>
      </c>
      <c r="J11" s="23" t="s">
        <v>92</v>
      </c>
      <c r="K11" s="23">
        <v>17</v>
      </c>
      <c r="L11" s="23">
        <v>10</v>
      </c>
      <c r="M11" s="23" t="s">
        <v>94</v>
      </c>
      <c r="N11" s="23">
        <v>70</v>
      </c>
      <c r="O11" s="23">
        <v>90</v>
      </c>
      <c r="P11" s="23">
        <v>92</v>
      </c>
    </row>
    <row r="12" spans="1:21" x14ac:dyDescent="0.35">
      <c r="A12" s="26" t="s">
        <v>10</v>
      </c>
      <c r="E12" s="29" t="s">
        <v>10</v>
      </c>
      <c r="F12" t="s">
        <v>118</v>
      </c>
      <c r="I12" s="27" t="s">
        <v>87</v>
      </c>
      <c r="J12" s="24" t="s">
        <v>91</v>
      </c>
      <c r="K12" s="24">
        <v>12</v>
      </c>
      <c r="L12" s="24">
        <v>7</v>
      </c>
      <c r="M12" s="24" t="s">
        <v>95</v>
      </c>
      <c r="N12" s="24">
        <v>86</v>
      </c>
      <c r="O12" s="24">
        <v>92</v>
      </c>
      <c r="P12" s="24">
        <v>89</v>
      </c>
    </row>
    <row r="13" spans="1:21" x14ac:dyDescent="0.35">
      <c r="A13" s="27" t="s">
        <v>88</v>
      </c>
      <c r="E13" s="30" t="s">
        <v>88</v>
      </c>
      <c r="F13" t="s">
        <v>118</v>
      </c>
      <c r="I13" s="26" t="s">
        <v>10</v>
      </c>
      <c r="J13" s="23" t="s">
        <v>91</v>
      </c>
      <c r="K13" s="23">
        <v>16</v>
      </c>
      <c r="L13" s="23">
        <v>10</v>
      </c>
      <c r="M13" s="23" t="s">
        <v>96</v>
      </c>
      <c r="N13" s="23">
        <v>86</v>
      </c>
      <c r="O13" s="23">
        <v>81</v>
      </c>
      <c r="P13" s="23">
        <v>77</v>
      </c>
    </row>
    <row r="14" spans="1:21" x14ac:dyDescent="0.35">
      <c r="A14" s="26" t="s">
        <v>89</v>
      </c>
      <c r="E14" s="29" t="s">
        <v>89</v>
      </c>
      <c r="F14" t="s">
        <v>118</v>
      </c>
      <c r="I14" s="27" t="s">
        <v>88</v>
      </c>
      <c r="J14" s="24" t="s">
        <v>92</v>
      </c>
      <c r="K14" s="24">
        <v>16</v>
      </c>
      <c r="L14" s="24">
        <v>10</v>
      </c>
      <c r="M14" s="24" t="s">
        <v>95</v>
      </c>
      <c r="N14" s="24">
        <v>81</v>
      </c>
      <c r="O14" s="24">
        <v>80</v>
      </c>
      <c r="P14" s="24">
        <v>87</v>
      </c>
    </row>
    <row r="15" spans="1:21" x14ac:dyDescent="0.35">
      <c r="A15" s="27" t="s">
        <v>90</v>
      </c>
      <c r="E15" s="30" t="s">
        <v>90</v>
      </c>
      <c r="F15" t="s">
        <v>118</v>
      </c>
      <c r="I15" s="26" t="s">
        <v>89</v>
      </c>
      <c r="J15" s="23" t="s">
        <v>92</v>
      </c>
      <c r="K15" s="23">
        <v>16</v>
      </c>
      <c r="L15" s="23">
        <v>10</v>
      </c>
      <c r="M15" s="23" t="s">
        <v>93</v>
      </c>
      <c r="N15" s="23">
        <v>70</v>
      </c>
      <c r="O15" s="23">
        <v>87</v>
      </c>
      <c r="P15" s="23">
        <v>85</v>
      </c>
    </row>
    <row r="16" spans="1:21" x14ac:dyDescent="0.35">
      <c r="I16" s="27" t="s">
        <v>90</v>
      </c>
      <c r="J16" s="24" t="s">
        <v>92</v>
      </c>
      <c r="K16" s="24">
        <v>14</v>
      </c>
      <c r="L16" s="24">
        <v>8</v>
      </c>
      <c r="M16" s="24" t="s">
        <v>96</v>
      </c>
      <c r="N16" s="24">
        <v>91</v>
      </c>
      <c r="O16" s="24">
        <v>96</v>
      </c>
      <c r="P16" s="24">
        <v>98</v>
      </c>
    </row>
  </sheetData>
  <hyperlinks>
    <hyperlink ref="E2" r:id="rId1" display="Abhimanya@mail.com"/>
    <hyperlink ref="E4" r:id="rId2" display="Champa@mail.com"/>
    <hyperlink ref="E5" r:id="rId3" display="Gopal@mail.com"/>
    <hyperlink ref="E6" r:id="rId4" display="Gopi@mail.com"/>
    <hyperlink ref="E7" r:id="rId5" display="Hari@mail.com"/>
    <hyperlink ref="E8" r:id="rId6" display="Indu@mail.com"/>
    <hyperlink ref="E9" r:id="rId7" display="Kesahv@mail.com"/>
    <hyperlink ref="E10" r:id="rId8" display="Lalita@mail.com"/>
    <hyperlink ref="E11" r:id="rId9" display="Madhav@mail.com"/>
    <hyperlink ref="E12" r:id="rId10" display="RNM@mail.com"/>
    <hyperlink ref="E13" r:id="rId11" display="Sudevi@mail.com"/>
    <hyperlink ref="E14" r:id="rId12" display="Vishakha@mail.com"/>
    <hyperlink ref="E15" r:id="rId13" display="Vrinda@mail.com"/>
    <hyperlink ref="I2" location="Names!A1" display="Name"/>
  </hyperlinks>
  <pageMargins left="0.7" right="0.7" top="0.75" bottom="0.75" header="0.3" footer="0.3"/>
  <pageSetup orientation="portrait" r:id="rId14"/>
  <tableParts count="1">
    <tablePart r:id="rId1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tabSelected="1" workbookViewId="0">
      <selection activeCell="J13" sqref="J13"/>
    </sheetView>
  </sheetViews>
  <sheetFormatPr defaultRowHeight="14.5" x14ac:dyDescent="0.35"/>
  <cols>
    <col min="1" max="1" width="12.36328125" bestFit="1" customWidth="1"/>
    <col min="2" max="2" width="15.08984375" bestFit="1" customWidth="1"/>
  </cols>
  <sheetData>
    <row r="3" spans="1:2" x14ac:dyDescent="0.35">
      <c r="A3" s="32" t="s">
        <v>121</v>
      </c>
      <c r="B3" t="s">
        <v>123</v>
      </c>
    </row>
    <row r="4" spans="1:2" x14ac:dyDescent="0.35">
      <c r="A4" s="33" t="s">
        <v>92</v>
      </c>
      <c r="B4" s="34">
        <v>635</v>
      </c>
    </row>
    <row r="5" spans="1:2" x14ac:dyDescent="0.35">
      <c r="A5" s="33" t="s">
        <v>91</v>
      </c>
      <c r="B5" s="34">
        <v>611</v>
      </c>
    </row>
    <row r="6" spans="1:2" x14ac:dyDescent="0.35">
      <c r="A6" s="33" t="s">
        <v>122</v>
      </c>
      <c r="B6" s="34">
        <v>1246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
  <sheetViews>
    <sheetView workbookViewId="0">
      <selection sqref="A1:H15"/>
    </sheetView>
  </sheetViews>
  <sheetFormatPr defaultRowHeight="14.5" x14ac:dyDescent="0.35"/>
  <sheetData>
    <row r="1" spans="1:8" ht="15.5" x14ac:dyDescent="0.35">
      <c r="A1" s="31" t="s">
        <v>69</v>
      </c>
      <c r="B1" s="25" t="s">
        <v>70</v>
      </c>
      <c r="C1" s="25" t="s">
        <v>71</v>
      </c>
      <c r="D1" s="25" t="s">
        <v>72</v>
      </c>
      <c r="E1" s="25" t="s">
        <v>73</v>
      </c>
      <c r="F1" s="25" t="s">
        <v>74</v>
      </c>
      <c r="G1" s="25" t="s">
        <v>75</v>
      </c>
      <c r="H1" s="25" t="s">
        <v>76</v>
      </c>
    </row>
    <row r="2" spans="1:8" x14ac:dyDescent="0.35">
      <c r="A2" s="26" t="s">
        <v>78</v>
      </c>
      <c r="B2" s="23" t="s">
        <v>91</v>
      </c>
      <c r="C2" s="23">
        <v>16</v>
      </c>
      <c r="D2" s="23">
        <v>10</v>
      </c>
      <c r="E2" s="23" t="s">
        <v>93</v>
      </c>
      <c r="F2" s="23">
        <v>84</v>
      </c>
      <c r="G2" s="23">
        <v>79</v>
      </c>
      <c r="H2" s="23">
        <v>99</v>
      </c>
    </row>
    <row r="3" spans="1:8" x14ac:dyDescent="0.35">
      <c r="A3" s="27" t="s">
        <v>79</v>
      </c>
      <c r="B3" s="24" t="s">
        <v>91</v>
      </c>
      <c r="C3" s="24">
        <v>11</v>
      </c>
      <c r="D3" s="24">
        <v>5</v>
      </c>
      <c r="E3" s="24" t="s">
        <v>94</v>
      </c>
      <c r="F3" s="24">
        <v>82</v>
      </c>
      <c r="G3" s="24">
        <v>83</v>
      </c>
      <c r="H3" s="24">
        <v>91</v>
      </c>
    </row>
    <row r="4" spans="1:8" x14ac:dyDescent="0.35">
      <c r="A4" s="26" t="s">
        <v>80</v>
      </c>
      <c r="B4" s="23" t="s">
        <v>92</v>
      </c>
      <c r="C4" s="23">
        <v>15</v>
      </c>
      <c r="D4" s="23">
        <v>8</v>
      </c>
      <c r="E4" s="23" t="s">
        <v>95</v>
      </c>
      <c r="F4" s="23">
        <v>81</v>
      </c>
      <c r="G4" s="23">
        <v>78</v>
      </c>
      <c r="H4" s="23">
        <v>88</v>
      </c>
    </row>
    <row r="5" spans="1:8" x14ac:dyDescent="0.35">
      <c r="A5" s="27" t="s">
        <v>81</v>
      </c>
      <c r="B5" s="24" t="s">
        <v>91</v>
      </c>
      <c r="C5" s="24">
        <v>14</v>
      </c>
      <c r="D5" s="24">
        <v>8</v>
      </c>
      <c r="E5" s="24" t="s">
        <v>93</v>
      </c>
      <c r="F5" s="24">
        <v>70</v>
      </c>
      <c r="G5" s="24">
        <v>75</v>
      </c>
      <c r="H5" s="24">
        <v>79</v>
      </c>
    </row>
    <row r="6" spans="1:8" x14ac:dyDescent="0.35">
      <c r="A6" s="26" t="s">
        <v>82</v>
      </c>
      <c r="B6" s="23" t="s">
        <v>92</v>
      </c>
      <c r="C6" s="23">
        <v>16</v>
      </c>
      <c r="D6" s="23">
        <v>10</v>
      </c>
      <c r="E6" s="23" t="s">
        <v>96</v>
      </c>
      <c r="F6" s="23">
        <v>88</v>
      </c>
      <c r="G6" s="23">
        <v>92</v>
      </c>
      <c r="H6" s="23">
        <v>96</v>
      </c>
    </row>
    <row r="7" spans="1:8" x14ac:dyDescent="0.35">
      <c r="A7" s="27" t="s">
        <v>83</v>
      </c>
      <c r="B7" s="24" t="s">
        <v>91</v>
      </c>
      <c r="C7" s="24">
        <v>16</v>
      </c>
      <c r="D7" s="24">
        <v>10</v>
      </c>
      <c r="E7" s="24" t="s">
        <v>93</v>
      </c>
      <c r="F7" s="24">
        <v>82</v>
      </c>
      <c r="G7" s="24">
        <v>81</v>
      </c>
      <c r="H7" s="24">
        <v>80</v>
      </c>
    </row>
    <row r="8" spans="1:8" x14ac:dyDescent="0.35">
      <c r="A8" s="26" t="s">
        <v>84</v>
      </c>
      <c r="B8" s="23" t="s">
        <v>92</v>
      </c>
      <c r="C8" s="23">
        <v>14</v>
      </c>
      <c r="D8" s="23">
        <v>8</v>
      </c>
      <c r="E8" s="23" t="s">
        <v>94</v>
      </c>
      <c r="F8" s="23">
        <v>90</v>
      </c>
      <c r="G8" s="23">
        <v>86</v>
      </c>
      <c r="H8" s="23">
        <v>89</v>
      </c>
    </row>
    <row r="9" spans="1:8" x14ac:dyDescent="0.35">
      <c r="A9" s="27" t="s">
        <v>85</v>
      </c>
      <c r="B9" s="24" t="s">
        <v>91</v>
      </c>
      <c r="C9" s="24">
        <v>15</v>
      </c>
      <c r="D9" s="24">
        <v>9</v>
      </c>
      <c r="E9" s="24" t="s">
        <v>96</v>
      </c>
      <c r="F9" s="24">
        <v>87</v>
      </c>
      <c r="G9" s="24">
        <v>89</v>
      </c>
      <c r="H9" s="24">
        <v>96</v>
      </c>
    </row>
    <row r="10" spans="1:8" x14ac:dyDescent="0.35">
      <c r="A10" s="26" t="s">
        <v>86</v>
      </c>
      <c r="B10" s="23" t="s">
        <v>92</v>
      </c>
      <c r="C10" s="23">
        <v>17</v>
      </c>
      <c r="D10" s="23">
        <v>10</v>
      </c>
      <c r="E10" s="23" t="s">
        <v>94</v>
      </c>
      <c r="F10" s="23">
        <v>70</v>
      </c>
      <c r="G10" s="23">
        <v>90</v>
      </c>
      <c r="H10" s="23">
        <v>92</v>
      </c>
    </row>
    <row r="11" spans="1:8" x14ac:dyDescent="0.35">
      <c r="A11" s="27" t="s">
        <v>87</v>
      </c>
      <c r="B11" s="24" t="s">
        <v>91</v>
      </c>
      <c r="C11" s="24">
        <v>12</v>
      </c>
      <c r="D11" s="24">
        <v>7</v>
      </c>
      <c r="E11" s="24" t="s">
        <v>95</v>
      </c>
      <c r="F11" s="24">
        <v>86</v>
      </c>
      <c r="G11" s="24">
        <v>92</v>
      </c>
      <c r="H11" s="24">
        <v>89</v>
      </c>
    </row>
    <row r="12" spans="1:8" x14ac:dyDescent="0.35">
      <c r="A12" s="26" t="s">
        <v>10</v>
      </c>
      <c r="B12" s="23" t="s">
        <v>91</v>
      </c>
      <c r="C12" s="23">
        <v>16</v>
      </c>
      <c r="D12" s="23">
        <v>10</v>
      </c>
      <c r="E12" s="23" t="s">
        <v>96</v>
      </c>
      <c r="F12" s="23">
        <v>86</v>
      </c>
      <c r="G12" s="23">
        <v>81</v>
      </c>
      <c r="H12" s="23">
        <v>77</v>
      </c>
    </row>
    <row r="13" spans="1:8" x14ac:dyDescent="0.35">
      <c r="A13" s="27" t="s">
        <v>88</v>
      </c>
      <c r="B13" s="24" t="s">
        <v>92</v>
      </c>
      <c r="C13" s="24">
        <v>16</v>
      </c>
      <c r="D13" s="24">
        <v>10</v>
      </c>
      <c r="E13" s="24" t="s">
        <v>95</v>
      </c>
      <c r="F13" s="24">
        <v>81</v>
      </c>
      <c r="G13" s="24">
        <v>80</v>
      </c>
      <c r="H13" s="24">
        <v>87</v>
      </c>
    </row>
    <row r="14" spans="1:8" x14ac:dyDescent="0.35">
      <c r="A14" s="26" t="s">
        <v>89</v>
      </c>
      <c r="B14" s="23" t="s">
        <v>92</v>
      </c>
      <c r="C14" s="23">
        <v>16</v>
      </c>
      <c r="D14" s="23">
        <v>10</v>
      </c>
      <c r="E14" s="23" t="s">
        <v>93</v>
      </c>
      <c r="F14" s="23">
        <v>70</v>
      </c>
      <c r="G14" s="23">
        <v>87</v>
      </c>
      <c r="H14" s="23">
        <v>85</v>
      </c>
    </row>
    <row r="15" spans="1:8" x14ac:dyDescent="0.35">
      <c r="A15" s="27" t="s">
        <v>90</v>
      </c>
      <c r="B15" s="24" t="s">
        <v>92</v>
      </c>
      <c r="C15" s="24">
        <v>14</v>
      </c>
      <c r="D15" s="24">
        <v>8</v>
      </c>
      <c r="E15" s="24" t="s">
        <v>96</v>
      </c>
      <c r="F15" s="24">
        <v>91</v>
      </c>
      <c r="G15" s="24">
        <v>96</v>
      </c>
      <c r="H15" s="24">
        <v>98</v>
      </c>
    </row>
  </sheetData>
  <hyperlinks>
    <hyperlink ref="A1" location="Names!A1" display="Nam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Names</vt:lpstr>
      <vt:lpstr>Sheet5</vt:lpstr>
      <vt:lpstr>Sheet4</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RD</dc:creator>
  <cp:lastModifiedBy>RD</cp:lastModifiedBy>
  <dcterms:created xsi:type="dcterms:W3CDTF">2026-01-21T18:44:26Z</dcterms:created>
  <dcterms:modified xsi:type="dcterms:W3CDTF">2026-03-25T14:20:49Z</dcterms:modified>
</cp:coreProperties>
</file>